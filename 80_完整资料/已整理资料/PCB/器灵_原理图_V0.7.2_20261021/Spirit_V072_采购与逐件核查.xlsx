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618ddb656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板载采购BOM" sheetId="1" r:id="R1e9684dfff184813"/>
    <x:sheet xmlns:r="http://schemas.openxmlformats.org/officeDocument/2006/relationships" name="外设选型" sheetId="2" r:id="R9d6cb22d3596471e"/>
    <x:sheet xmlns:r="http://schemas.openxmlformats.org/officeDocument/2006/relationships" name="逐件核查" sheetId="3" r:id="R065bb2282086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0"/>
      <x:color rgb="FF182333"/>
      <x:name val="Arial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sz val="10"/>
      <x:color rgb="FF174F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7"/>
      </x:patternFill>
    </x:fill>
    <x:fill>
      <x:patternFill patternType="solid">
        <x:fgColor rgb="FFF2F5F8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8C4F00"/>
      </x:font>
      <x:fill>
        <x:patternFill patternType="solid">
          <x:bgColor rgb="FFFFF0C2"/>
        </x:patternFill>
      </x:fill>
    </x:dxf>
    <x:dxf>
      <x:font>
        <x:color rgb="FF8C4F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6fc0898b24061" /><Relationship Type="http://schemas.openxmlformats.org/officeDocument/2006/relationships/theme" Target="/xl/theme/theme1.xml" Id="R9d4f8db9b0fc4683" /><Relationship Type="http://schemas.openxmlformats.org/officeDocument/2006/relationships/sharedStrings" Target="/xl/sharedStrings.xml" Id="Ra9feba27f0b14978" /><Relationship Type="http://schemas.openxmlformats.org/officeDocument/2006/relationships/worksheet" Target="/xl/worksheets/sheet1.xml" Id="R1e9684dfff184813" /><Relationship Type="http://schemas.openxmlformats.org/officeDocument/2006/relationships/worksheet" Target="/xl/worksheets/sheet2.xml" Id="R9d6cb22d3596471e" /><Relationship Type="http://schemas.openxmlformats.org/officeDocument/2006/relationships/worksheet" Target="/xl/worksheets/sheet3.xml" Id="R065bb22820864f01" /></Relationships>
</file>

<file path=xl/tables/table1.xml><?xml version="1.0" encoding="utf-8"?>
<x:table xmlns:x="http://schemas.openxmlformats.org/spreadsheetml/2006/main" id="1" name="BoardBOM" displayName="BoardBOM" ref="A6:H57" headerRowCount="1" totalsRowCount="0" totalsRowShown="0">
  <x:tableColumns count="8">
    <x:tableColumn id="1" name="立创料号"/>
    <x:tableColumn id="2" name="制造商型号"/>
    <x:tableColumn id="3" name="每板数量"/>
    <x:tableColumn id="4" name="需求数量"/>
    <x:tableColumn id="5" name="位号"/>
    <x:tableColumn id="6" name="封装"/>
    <x:tableColumn id="7" name="采购状态"/>
    <x:tableColumn id="8" name="资料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ExternalParts" displayName="ExternalParts" ref="A6:I14" headerRowCount="1" totalsRowCount="0" totalsRowShown="0">
  <x:tableColumns count="9">
    <x:tableColumn id="1" name="用途"/>
    <x:tableColumn id="2" name="型号"/>
    <x:tableColumn id="3" name="立创料号"/>
    <x:tableColumn id="4" name="购买数量"/>
    <x:tableColumn id="5" name="1件价/元"/>
    <x:tableColumn id="6" name="库存/个"/>
    <x:tableColumn id="7" name="选型状态"/>
    <x:tableColumn id="8" name="适配条件"/>
    <x:tableColumn id="9" name="来源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omponentReview" displayName="ComponentReview" ref="A6:H143" headerRowCount="1" totalsRowCount="0" totalsRowShown="0">
  <x:tableColumns count="8">
    <x:tableColumn id="1" name="位号"/>
    <x:tableColumn id="2" name="制造商型号"/>
    <x:tableColumn id="3" name="立创料号"/>
    <x:tableColumn id="4" name="面别"/>
    <x:tableColumn id="5" name="引脚网络"/>
    <x:tableColumn id="6" name="核查内容"/>
    <x:tableColumn id="7" name="结论/条件"/>
    <x:tableColumn id="8" name="资料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07571abba247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fd9929a5344f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ae0c36b5684e21" /></Relationships>
</file>

<file path=xl/worksheets/sheet1.xml><?xml version="1.0" encoding="utf-8"?>
<x:worksheet xmlns:x="http://schemas.openxmlformats.org/spreadsheetml/2006/main">
  <x:sheetPr>
    <x:tabColor rgb="FF243D57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.779999732971191" hidden="0" customWidth="1"/>
    <x:col min="2" max="2" width="29.440000534057617" hidden="0" customWidth="1"/>
    <x:col min="3" max="3" width="9.4399995803833" hidden="0" customWidth="1"/>
    <x:col min="4" max="4" width="9.4399995803833" hidden="0" customWidth="1"/>
    <x:col min="5" max="5" width="37.779998779296875" hidden="0" customWidth="1"/>
    <x:col min="6" max="6" width="21.110000610351562" hidden="0" customWidth="1"/>
    <x:col min="7" max="7" width="27.780000686645508" hidden="0" customWidth="1"/>
    <x:col min="8" max="8" width="36.669998168945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器灵 V0.7.2 板载采购清单</x:v>
      </x:c>
      <x:c r="B2" s="2"/>
      <x:c r="C2" s="2"/>
      <x:c r="D2" s="2"/>
      <x:c r="E2" s="2"/>
      <x:c r="F2" s="2"/>
      <x:c r="G2" s="2"/>
      <x:c r="H2" s="2"/>
    </x:row>
    <x:row r="3">
      <x:c r="A3" s="2" t="str">
        <x:v>PCB数量</x:v>
      </x:c>
      <x:c r="B3" s="13" t="n">
        <x:v>1</x:v>
      </x:c>
      <x:c r="C3" s="2" t="str">
        <x:v>137个位号，实装136件/50种料号；C114默认不装</x:v>
      </x:c>
      <x:c r="D3" s="2"/>
      <x:c r="E3" s="2"/>
      <x:c r="F3" s="2"/>
      <x:c r="G3" s="2"/>
      <x:c r="H3" s="2"/>
    </x:row>
    <x:row r="4">
      <x:c r="A4" s="2" t="str">
        <x:v>库存按下单时商城显示为准；外置器件见“外设选型”。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28" customHeight="1">
      <x:c r="A6" s="7" t="str">
        <x:v>立创料号</x:v>
      </x:c>
      <x:c r="B6" s="7" t="str">
        <x:v>制造商型号</x:v>
      </x:c>
      <x:c r="C6" s="7" t="str">
        <x:v>每板数量</x:v>
      </x:c>
      <x:c r="D6" s="7" t="str">
        <x:v>需求数量</x:v>
      </x:c>
      <x:c r="E6" s="7" t="str">
        <x:v>位号</x:v>
      </x:c>
      <x:c r="F6" s="7" t="str">
        <x:v>封装</x:v>
      </x:c>
      <x:c r="G6" s="7" t="str">
        <x:v>采购状态</x:v>
      </x:c>
      <x:c r="H6" s="7" t="str">
        <x:v>资料</x:v>
      </x:c>
    </x:row>
    <x:row r="7" ht="64" customHeight="1">
      <x:c r="A7" s="9" t="str">
        <x:v>C14663</x:v>
      </x:c>
      <x:c r="B7" s="9" t="str">
        <x:v>CC0603KRX7R9BB104</x:v>
      </x:c>
      <x:c r="C7" s="14" t="n">
        <x:v>18</x:v>
      </x:c>
      <x:c r="D7" s="14" t="n">
        <x:f>C7*$B$3</x:f>
        <x:v>18</x:v>
      </x:c>
      <x:c r="E7" s="9" t="str">
        <x:v>C1,C2,C6,C7,C8,C11,C13,C15,C23,C29,C102,C104,C106,C108,C112,C115,C123,C124</x:v>
      </x:c>
      <x:c r="F7" s="9" t="str">
        <x:v>0603 封装</x:v>
      </x:c>
      <x:c r="G7" s="9" t="str">
        <x:v>已匹配工程；下单时复核库存</x:v>
      </x:c>
      <x:c r="H7" s="9" t="str">
        <x:v>https://item.szlcsc.com/datasheet/CC0603KRX7R9BB104/15331.html</x:v>
      </x:c>
    </x:row>
    <x:row r="8" ht="64" customHeight="1">
      <x:c r="A8" s="10" t="str">
        <x:v>C15849</x:v>
      </x:c>
      <x:c r="B8" s="10" t="str">
        <x:v>CL10A105KB8NNNC</x:v>
      </x:c>
      <x:c r="C8" s="15" t="n">
        <x:v>10</x:v>
      </x:c>
      <x:c r="D8" s="15" t="n">
        <x:f>C8*$B$3</x:f>
        <x:v>10</x:v>
      </x:c>
      <x:c r="E8" s="10" t="str">
        <x:v>C3,C5,C9,C12,C16,C101,C120,C121,C122,C127</x:v>
      </x:c>
      <x:c r="F8" s="10" t="str">
        <x:v>0603 封装</x:v>
      </x:c>
      <x:c r="G8" s="10" t="str">
        <x:v>已匹配工程；下单时复核库存</x:v>
      </x:c>
      <x:c r="H8" s="10" t="str">
        <x:v>https://item.szlcsc.com/datasheet/CL10A105KB8NNNC/16531.html</x:v>
      </x:c>
    </x:row>
    <x:row r="9" ht="64" customHeight="1">
      <x:c r="A9" s="9" t="str">
        <x:v>C19702</x:v>
      </x:c>
      <x:c r="B9" s="9" t="str">
        <x:v>CL10A106KP8NNNC</x:v>
      </x:c>
      <x:c r="C9" s="14" t="n">
        <x:v>3</x:v>
      </x:c>
      <x:c r="D9" s="14" t="n">
        <x:f>C9*$B$3</x:f>
        <x:v>3</x:v>
      </x:c>
      <x:c r="E9" s="9" t="str">
        <x:v>C4,C14,C30</x:v>
      </x:c>
      <x:c r="F9" s="9" t="str">
        <x:v>0603 封装</x:v>
      </x:c>
      <x:c r="G9" s="9" t="str">
        <x:v>已匹配工程；下单时复核库存</x:v>
      </x:c>
      <x:c r="H9" s="9" t="str">
        <x:v>https://item.szlcsc.com/datasheet/CL10A106KP8NNNC/20411.html</x:v>
      </x:c>
    </x:row>
    <x:row r="10" ht="64" customHeight="1">
      <x:c r="A10" s="10" t="str">
        <x:v>C109314</x:v>
      </x:c>
      <x:c r="B10" s="10" t="str">
        <x:v>CC0805MKX5R6BB226</x:v>
      </x:c>
      <x:c r="C10" s="15" t="n">
        <x:v>5</x:v>
      </x:c>
      <x:c r="D10" s="15" t="n">
        <x:f>C10*$B$3</x:f>
        <x:v>5</x:v>
      </x:c>
      <x:c r="E10" s="10" t="str">
        <x:v>C103,C105,C109,C113,C128</x:v>
      </x:c>
      <x:c r="F10" s="10" t="str">
        <x:v>0805 封装</x:v>
      </x:c>
      <x:c r="G10" s="10" t="str">
        <x:v>已匹配工程；下单时复核库存</x:v>
      </x:c>
      <x:c r="H10" s="10" t="str">
        <x:v>https://atta.szlcsc.com/upload/public/pdf/source/20181008/C309506_01C87B2C86DBD1236B532041A9B60642.pdf</x:v>
      </x:c>
    </x:row>
    <x:row r="11" ht="64" customHeight="1">
      <x:c r="A11" s="9" t="str">
        <x:v>C380346</x:v>
      </x:c>
      <x:c r="B11" s="9" t="str">
        <x:v>TCC0805X7R106K100FT</x:v>
      </x:c>
      <x:c r="C11" s="14" t="n">
        <x:v>4</x:v>
      </x:c>
      <x:c r="D11" s="14" t="n">
        <x:f>C11*$B$3</x:f>
        <x:v>4</x:v>
      </x:c>
      <x:c r="E11" s="9" t="str">
        <x:v>C107,C111,C119,C129</x:v>
      </x:c>
      <x:c r="F11" s="9" t="str">
        <x:v>0805 封装</x:v>
      </x:c>
      <x:c r="G11" s="9" t="str">
        <x:v>已匹配工程；下单时复核库存</x:v>
      </x:c>
      <x:c r="H11" s="9" t="str">
        <x:v>https://item.szlcsc.com/datasheet/TCC0805X7R106K100FT/352751.html</x:v>
      </x:c>
    </x:row>
    <x:row r="12" ht="64" customHeight="1">
      <x:c r="A12" s="10" t="str">
        <x:v>C106210</x:v>
      </x:c>
      <x:c r="B12" s="10" t="str">
        <x:v>CC0603JRNPO9BN221</x:v>
      </x:c>
      <x:c r="C12" s="15" t="n">
        <x:v>0</x:v>
      </x:c>
      <x:c r="D12" s="15" t="n">
        <x:f>C12*$B$3</x:f>
        <x:v>0</x:v>
      </x:c>
      <x:c r="E12" s="10" t="str">
        <x:v>C114</x:v>
      </x:c>
      <x:c r="F12" s="10" t="str">
        <x:v>0603 封装</x:v>
      </x:c>
      <x:c r="G12" s="10" t="str">
        <x:v>DNP：默认不装、不采购</x:v>
      </x:c>
      <x:c r="H12" s="10" t="str">
        <x:v>https://item.szlcsc.com/datasheet/CC0603JRNPO9BN221/107425.html</x:v>
      </x:c>
    </x:row>
    <x:row r="13" ht="64" customHeight="1">
      <x:c r="A13" s="9" t="str">
        <x:v>C883160</x:v>
      </x:c>
      <x:c r="B13" s="9" t="str">
        <x:v>BSMD1812-260-16V</x:v>
      </x:c>
      <x:c r="C13" s="14" t="n">
        <x:v>1</x:v>
      </x:c>
      <x:c r="D13" s="14" t="n">
        <x:f>C13*$B$3</x:f>
        <x:v>1</x:v>
      </x:c>
      <x:c r="E13" s="9" t="str">
        <x:v>F101</x:v>
      </x:c>
      <x:c r="F13" s="9" t="str">
        <x:v>1812</x:v>
      </x:c>
      <x:c r="G13" s="9" t="str">
        <x:v>已匹配工程；下单时复核库存</x:v>
      </x:c>
      <x:c r="H13" s="9" t="str">
        <x:v>https://item.szlcsc.com/datasheet/BSMD1812-260-16V/947835.html</x:v>
      </x:c>
    </x:row>
    <x:row r="14" ht="64" customHeight="1">
      <x:c r="A14" s="10" t="str">
        <x:v>C19330</x:v>
      </x:c>
      <x:c r="B14" s="10" t="str">
        <x:v>BLM18AG601SN1D</x:v>
      </x:c>
      <x:c r="C14" s="15" t="n">
        <x:v>1</x:v>
      </x:c>
      <x:c r="D14" s="15" t="n">
        <x:f>C14*$B$3</x:f>
        <x:v>1</x:v>
      </x:c>
      <x:c r="E14" s="10" t="str">
        <x:v>FB202</x:v>
      </x:c>
      <x:c r="F14" s="10" t="str">
        <x:v>0603 封装</x:v>
      </x:c>
      <x:c r="G14" s="10" t="str">
        <x:v>已匹配工程；下单时复核库存</x:v>
      </x:c>
      <x:c r="H14" s="10" t="str">
        <x:v>https://item.szlcsc.com/datasheet/BLM18AG601SN1D/20038.html</x:v>
      </x:c>
    </x:row>
    <x:row r="15" ht="64" customHeight="1">
      <x:c r="A15" s="9" t="str">
        <x:v>C160405</x:v>
      </x:c>
      <x:c r="B15" s="9" t="str">
        <x:v>SM06B-SRSS-TB(LF)(SN)</x:v>
      </x:c>
      <x:c r="C15" s="14" t="n">
        <x:v>1</x:v>
      </x:c>
      <x:c r="D15" s="14" t="n">
        <x:f>C15*$B$3</x:f>
        <x:v>1</x:v>
      </x:c>
      <x:c r="E15" s="9" t="str">
        <x:v>J1</x:v>
      </x:c>
      <x:c r="F15" s="9" t="str">
        <x:v>SMD,P=1mm,卧贴</x:v>
      </x:c>
      <x:c r="G15" s="9" t="str">
        <x:v>已匹配工程；下单时复核库存</x:v>
      </x:c>
      <x:c r="H15" s="9" t="str">
        <x:v>https://item.szlcsc.com/datasheet/SM06B-SRSS-TB(LF)(SN)/171785.html</x:v>
      </x:c>
    </x:row>
    <x:row r="16" ht="64" customHeight="1">
      <x:c r="A16" s="10" t="str">
        <x:v>C160406</x:v>
      </x:c>
      <x:c r="B16" s="10" t="str">
        <x:v>SM07B-SRSS-TB(LF)(SN)</x:v>
      </x:c>
      <x:c r="C16" s="15" t="n">
        <x:v>1</x:v>
      </x:c>
      <x:c r="D16" s="15" t="n">
        <x:f>C16*$B$3</x:f>
        <x:v>1</x:v>
      </x:c>
      <x:c r="E16" s="10" t="str">
        <x:v>J2</x:v>
      </x:c>
      <x:c r="F16" s="10" t="str">
        <x:v>SMD,P=1mm,卧贴</x:v>
      </x:c>
      <x:c r="G16" s="10" t="str">
        <x:v>已匹配工程；下单时复核库存</x:v>
      </x:c>
      <x:c r="H16" s="10" t="str">
        <x:v>https://item.szlcsc.com/datasheet/SM07B-SRSS-TB(LF)(SN)/171786.html</x:v>
      </x:c>
    </x:row>
    <x:row r="17" ht="64" customHeight="1">
      <x:c r="A17" s="9" t="str">
        <x:v>C160402</x:v>
      </x:c>
      <x:c r="B17" s="9" t="str">
        <x:v>SM02B-SRSS-TB(LF)(SN)</x:v>
      </x:c>
      <x:c r="C17" s="14" t="n">
        <x:v>4</x:v>
      </x:c>
      <x:c r="D17" s="14" t="n">
        <x:f>C17*$B$3</x:f>
        <x:v>4</x:v>
      </x:c>
      <x:c r="E17" s="9" t="str">
        <x:v>J3,J4,J6,J110</x:v>
      </x:c>
      <x:c r="F17" s="9" t="str">
        <x:v>SMD,P=1mm,卧贴</x:v>
      </x:c>
      <x:c r="G17" s="9" t="str">
        <x:v>已匹配工程；下单时复核库存</x:v>
      </x:c>
      <x:c r="H17" s="9" t="str">
        <x:v>https://item.szlcsc.com/datasheet/SM02B-SRSS-TB(LF)(SN)/171782.html</x:v>
      </x:c>
    </x:row>
    <x:row r="18" ht="64" customHeight="1">
      <x:c r="A18" s="10" t="str">
        <x:v>C563981</x:v>
      </x:c>
      <x:c r="B18" s="10" t="str">
        <x:v>5040500691</x:v>
      </x:c>
      <x:c r="C18" s="15" t="n">
        <x:v>1</x:v>
      </x:c>
      <x:c r="D18" s="15" t="n">
        <x:f>C18*$B$3</x:f>
        <x:v>1</x:v>
      </x:c>
      <x:c r="E18" s="10" t="str">
        <x:v>J7</x:v>
      </x:c>
      <x:c r="F18" s="10" t="str">
        <x:v>SMD,P=1.5mm,卧贴</x:v>
      </x:c>
      <x:c r="G18" s="10" t="str">
        <x:v>已匹配工程；下单时复核库存</x:v>
      </x:c>
      <x:c r="H18" s="10" t="str">
        <x:v>https://www.molex.com/content/dam/molex/molex-dot-com/products/automated/en-us/salesdrawingpdf/504/504050/5040500691_sd.pdf?inline\</x:v>
      </x:c>
    </x:row>
    <x:row r="19" ht="64" customHeight="1">
      <x:c r="A19" s="9" t="str">
        <x:v>C19191175</x:v>
      </x:c>
      <x:c r="B19" s="9" t="str">
        <x:v>ZX-0.5FPC-2H-CTXX12P</x:v>
      </x:c>
      <x:c r="C19" s="14" t="n">
        <x:v>1</x:v>
      </x:c>
      <x:c r="D19" s="14" t="n">
        <x:f>C19*$B$3</x:f>
        <x:v>1</x:v>
      </x:c>
      <x:c r="E19" s="9" t="str">
        <x:v>J8</x:v>
      </x:c>
      <x:c r="F19" s="9" t="str">
        <x:v>SMD,P=0.5mm,卧贴</x:v>
      </x:c>
      <x:c r="G19" s="9" t="str">
        <x:v>已匹配工程；下单时复核库存</x:v>
      </x:c>
      <x:c r="H19" s="9" t="str">
        <x:v>https://item.szlcsc.com/datasheet/ZX-0.5FPC-2H-CTXX12P/20429030.html</x:v>
      </x:c>
    </x:row>
    <x:row r="20" ht="64" customHeight="1">
      <x:c r="A20" s="10" t="str">
        <x:v>C165948</x:v>
      </x:c>
      <x:c r="B20" s="10" t="str">
        <x:v>TYPE-C-31-M-12</x:v>
      </x:c>
      <x:c r="C20" s="15" t="n">
        <x:v>1</x:v>
      </x:c>
      <x:c r="D20" s="15" t="n">
        <x:f>C20*$B$3</x:f>
        <x:v>1</x:v>
      </x:c>
      <x:c r="E20" s="10" t="str">
        <x:v>J101</x:v>
      </x:c>
      <x:c r="F20" s="10" t="str">
        <x:v>SMD</x:v>
      </x:c>
      <x:c r="G20" s="10" t="str">
        <x:v>已匹配工程；下单时复核库存</x:v>
      </x:c>
      <x:c r="H20" s="10" t="str">
        <x:v>https://item.szlcsc.com/datasheet/TYPE-C-31-M-12/177331.html</x:v>
      </x:c>
    </x:row>
    <x:row r="21" ht="64" customHeight="1">
      <x:c r="A21" s="9" t="str">
        <x:v>C17265920</x:v>
      </x:c>
      <x:c r="B21" s="9" t="str">
        <x:v>5040500391</x:v>
      </x:c>
      <x:c r="C21" s="14" t="n">
        <x:v>1</x:v>
      </x:c>
      <x:c r="D21" s="14" t="n">
        <x:f>C21*$B$3</x:f>
        <x:v>1</x:v>
      </x:c>
      <x:c r="E21" s="9" t="str">
        <x:v>J104</x:v>
      </x:c>
      <x:c r="F21" s="9" t="str">
        <x:v>SMD,P=1.5mm,卧贴</x:v>
      </x:c>
      <x:c r="G21" s="9" t="str">
        <x:v>已匹配工程；下单时复核库存</x:v>
      </x:c>
      <x:c r="H21" s="9" t="str">
        <x:v>https://www.molex.com/content/dam/molex/molex-dot-com/products/automated/en-us/salesdrawingpdf/504/504050/5040500391_sd.pdf?inline\</x:v>
      </x:c>
    </x:row>
    <x:row r="22" ht="64" customHeight="1">
      <x:c r="A22" s="10" t="str">
        <x:v>C177235</x:v>
      </x:c>
      <x:c r="B22" s="10" t="str">
        <x:v>5040500491</x:v>
      </x:c>
      <x:c r="C22" s="15" t="n">
        <x:v>1</x:v>
      </x:c>
      <x:c r="D22" s="15" t="n">
        <x:f>C22*$B$3</x:f>
        <x:v>1</x:v>
      </x:c>
      <x:c r="E22" s="10" t="str">
        <x:v>J111</x:v>
      </x:c>
      <x:c r="F22" s="10" t="str">
        <x:v>SMD,P=1.5mm,卧贴</x:v>
      </x:c>
      <x:c r="G22" s="10" t="str">
        <x:v>已匹配工程；下单时复核库存</x:v>
      </x:c>
      <x:c r="H22" s="10" t="str">
        <x:v>https://www.molex.com/content/dam/molex/molex-dot-com/products/automated/en-us/salesdrawingpdf/504/504050/5040500491_sd.pdf?inline\</x:v>
      </x:c>
    </x:row>
    <x:row r="23" ht="64" customHeight="1">
      <x:c r="A23" s="9" t="str">
        <x:v>C7429571</x:v>
      </x:c>
      <x:c r="B23" s="9" t="str">
        <x:v>ZX-HY2.0-4PWT</x:v>
      </x:c>
      <x:c r="C23" s="14" t="n">
        <x:v>1</x:v>
      </x:c>
      <x:c r="D23" s="14" t="n">
        <x:f>C23*$B$3</x:f>
        <x:v>1</x:v>
      </x:c>
      <x:c r="E23" s="9" t="str">
        <x:v>J201</x:v>
      </x:c>
      <x:c r="F23" s="9" t="str">
        <x:v>SMD,P=2mm,卧贴</x:v>
      </x:c>
      <x:c r="G23" s="9" t="str">
        <x:v>已匹配工程；下单时复核库存</x:v>
      </x:c>
      <x:c r="H23" s="9" t="str">
        <x:v>https://item.szlcsc.com/datasheet/ZX-HY2.0-4PWT/8427488.html</x:v>
      </x:c>
    </x:row>
    <x:row r="24" ht="64" customHeight="1">
      <x:c r="A24" s="10" t="str">
        <x:v>C408353</x:v>
      </x:c>
      <x:c r="B24" s="10" t="str">
        <x:v>MWSA0503S-R47MT</x:v>
      </x:c>
      <x:c r="C24" s="15" t="n">
        <x:v>1</x:v>
      </x:c>
      <x:c r="D24" s="15" t="n">
        <x:f>C24*$B$3</x:f>
        <x:v>1</x:v>
      </x:c>
      <x:c r="E24" s="10" t="str">
        <x:v>L101</x:v>
      </x:c>
      <x:c r="F24" s="10" t="str">
        <x:v>SMD,5.4x5.2mm</x:v>
      </x:c>
      <x:c r="G24" s="10" t="str">
        <x:v>已匹配工程；下单时复核库存</x:v>
      </x:c>
      <x:c r="H24" s="10" t="str">
        <x:v>https://item.szlcsc.com/datasheet/MWSA0503S-R47MT/397755.html</x:v>
      </x:c>
    </x:row>
    <x:row r="25" ht="64" customHeight="1">
      <x:c r="A25" s="9" t="str">
        <x:v>C408332</x:v>
      </x:c>
      <x:c r="B25" s="9" t="str">
        <x:v>MWSA0402S-1R0MT</x:v>
      </x:c>
      <x:c r="C25" s="14" t="n">
        <x:v>1</x:v>
      </x:c>
      <x:c r="D25" s="14" t="n">
        <x:f>C25*$B$3</x:f>
        <x:v>1</x:v>
      </x:c>
      <x:c r="E25" s="9" t="str">
        <x:v>L102</x:v>
      </x:c>
      <x:c r="F25" s="9" t="str">
        <x:v>SMD,4.4x4.2mm</x:v>
      </x:c>
      <x:c r="G25" s="9" t="str">
        <x:v>已匹配工程；下单时复核库存</x:v>
      </x:c>
      <x:c r="H25" s="9" t="str">
        <x:v>https://item.szlcsc.com/datasheet/MWSA0402S-1R0MT/397734.html</x:v>
      </x:c>
    </x:row>
    <x:row r="26" ht="64" customHeight="1">
      <x:c r="A26" s="10" t="str">
        <x:v>C20917</x:v>
      </x:c>
      <x:c r="B26" s="10" t="str">
        <x:v>AO3400A</x:v>
      </x:c>
      <x:c r="C26" s="15" t="n">
        <x:v>3</x:v>
      </x:c>
      <x:c r="D26" s="15" t="n">
        <x:f>C26*$B$3</x:f>
        <x:v>3</x:v>
      </x:c>
      <x:c r="E26" s="10" t="str">
        <x:v>Q2,Q103,Q104</x:v>
      </x:c>
      <x:c r="F26" s="10" t="str">
        <x:v>SOT-23</x:v>
      </x:c>
      <x:c r="G26" s="10" t="str">
        <x:v>已匹配工程；下单时复核库存</x:v>
      </x:c>
      <x:c r="H26" s="10" t="str">
        <x:v>https://item.szlcsc.com/datasheet/AO3400A/21629.html</x:v>
      </x:c>
    </x:row>
    <x:row r="27" ht="64" customHeight="1">
      <x:c r="A27" s="9" t="str">
        <x:v>C15127</x:v>
      </x:c>
      <x:c r="B27" s="9" t="str">
        <x:v>AO3401A</x:v>
      </x:c>
      <x:c r="C27" s="14" t="n">
        <x:v>1</x:v>
      </x:c>
      <x:c r="D27" s="14" t="n">
        <x:f>C27*$B$3</x:f>
        <x:v>1</x:v>
      </x:c>
      <x:c r="E27" s="9" t="str">
        <x:v>Q102</x:v>
      </x:c>
      <x:c r="F27" s="9" t="str">
        <x:v>SOT-23</x:v>
      </x:c>
      <x:c r="G27" s="9" t="str">
        <x:v>已匹配工程；下单时复核库存</x:v>
      </x:c>
      <x:c r="H27" s="9" t="str">
        <x:v>https://item.szlcsc.com/datasheet/AO3401A/15801.html</x:v>
      </x:c>
    </x:row>
    <x:row r="28" ht="64" customHeight="1">
      <x:c r="A28" s="10" t="str">
        <x:v>C25804</x:v>
      </x:c>
      <x:c r="B28" s="10" t="str">
        <x:v>0603WAF1002T5E</x:v>
      </x:c>
      <x:c r="C28" s="15" t="n">
        <x:v>16</x:v>
      </x:c>
      <x:c r="D28" s="15" t="n">
        <x:f>C28*$B$3</x:f>
        <x:v>16</x:v>
      </x:c>
      <x:c r="E28" s="10" t="str">
        <x:v>R1,R2,R3,R6,R9,R18,R19,R22,R36,R107,R108,R113,R114,R115,R138,R312</x:v>
      </x:c>
      <x:c r="F28" s="10" t="str">
        <x:v>0603 封装</x:v>
      </x:c>
      <x:c r="G28" s="10" t="str">
        <x:v>已匹配工程；下单时复核库存</x:v>
      </x:c>
      <x:c r="H28" s="10" t="str">
        <x:v>https://item.szlcsc.com/datasheet/0603WAF1002T5E/26547.html</x:v>
      </x:c>
    </x:row>
    <x:row r="29" ht="64" customHeight="1">
      <x:c r="A29" s="9" t="str">
        <x:v>C23162</x:v>
      </x:c>
      <x:c r="B29" s="9" t="str">
        <x:v>0603WAF4701T5E</x:v>
      </x:c>
      <x:c r="C29" s="14" t="n">
        <x:v>4</x:v>
      </x:c>
      <x:c r="D29" s="14" t="n">
        <x:f>C29*$B$3</x:f>
        <x:v>4</x:v>
      </x:c>
      <x:c r="E29" s="9" t="str">
        <x:v>R4,R5,R307,R308</x:v>
      </x:c>
      <x:c r="F29" s="9" t="str">
        <x:v>0603 封装</x:v>
      </x:c>
      <x:c r="G29" s="9" t="str">
        <x:v>已匹配工程；下单时复核库存</x:v>
      </x:c>
      <x:c r="H29" s="9" t="str">
        <x:v>https://item.szlcsc.com/datasheet/0603WAF4701T5E/23889.html</x:v>
      </x:c>
    </x:row>
    <x:row r="30" ht="64" customHeight="1">
      <x:c r="A30" s="10" t="str">
        <x:v>C4190</x:v>
      </x:c>
      <x:c r="B30" s="10" t="str">
        <x:v>0603WAF2201T5E</x:v>
      </x:c>
      <x:c r="C30" s="15" t="n">
        <x:v>1</x:v>
      </x:c>
      <x:c r="D30" s="15" t="n">
        <x:f>C30*$B$3</x:f>
        <x:v>1</x:v>
      </x:c>
      <x:c r="E30" s="10" t="str">
        <x:v>R8</x:v>
      </x:c>
      <x:c r="F30" s="10" t="str">
        <x:v>0603 封装</x:v>
      </x:c>
      <x:c r="G30" s="10" t="str">
        <x:v>已匹配工程；下单时复核库存</x:v>
      </x:c>
      <x:c r="H30" s="10" t="str">
        <x:v>https://item.szlcsc.com/datasheet/0603WAF2201T5E/4597.html</x:v>
      </x:c>
    </x:row>
    <x:row r="31" ht="64" customHeight="1">
      <x:c r="A31" s="9" t="str">
        <x:v>C25803</x:v>
      </x:c>
      <x:c r="B31" s="9" t="str">
        <x:v>0603WAF1003T5E</x:v>
      </x:c>
      <x:c r="C31" s="14" t="n">
        <x:v>15</x:v>
      </x:c>
      <x:c r="D31" s="14" t="n">
        <x:f>C31*$B$3</x:f>
        <x:v>15</x:v>
      </x:c>
      <x:c r="E31" s="9" t="str">
        <x:v>R10,R15,R26,R38,R105,R106,R109,R116,R120,R122,R123,R124,R125,R126,R136</x:v>
      </x:c>
      <x:c r="F31" s="9" t="str">
        <x:v>0603 封装</x:v>
      </x:c>
      <x:c r="G31" s="9" t="str">
        <x:v>已匹配工程；下单时复核库存</x:v>
      </x:c>
      <x:c r="H31" s="9" t="str">
        <x:v>https://item.szlcsc.com/datasheet/0603WAF1003T5E/26546.html</x:v>
      </x:c>
    </x:row>
    <x:row r="32" ht="64" customHeight="1">
      <x:c r="A32" s="10" t="str">
        <x:v>C23140</x:v>
      </x:c>
      <x:c r="B32" s="10" t="str">
        <x:v>0603WAF330JT5E</x:v>
      </x:c>
      <x:c r="C32" s="15" t="n">
        <x:v>4</x:v>
      </x:c>
      <x:c r="D32" s="15" t="n">
        <x:f>C32*$B$3</x:f>
        <x:v>4</x:v>
      </x:c>
      <x:c r="E32" s="10" t="str">
        <x:v>R32,R33,R34,R35</x:v>
      </x:c>
      <x:c r="F32" s="10" t="str">
        <x:v>0603 封装</x:v>
      </x:c>
      <x:c r="G32" s="10" t="str">
        <x:v>已匹配工程；下单时复核库存</x:v>
      </x:c>
      <x:c r="H32" s="10" t="str">
        <x:v>https://item.szlcsc.com/datasheet/0603WAF330JT5E/23867.html</x:v>
      </x:c>
    </x:row>
    <x:row r="33" ht="64" customHeight="1">
      <x:c r="A33" s="9" t="str">
        <x:v>C22775</x:v>
      </x:c>
      <x:c r="B33" s="9" t="str">
        <x:v>0603WAF1000T5E</x:v>
      </x:c>
      <x:c r="C33" s="14" t="n">
        <x:v>1</x:v>
      </x:c>
      <x:c r="D33" s="14" t="n">
        <x:f>C33*$B$3</x:f>
        <x:v>1</x:v>
      </x:c>
      <x:c r="E33" s="9" t="str">
        <x:v>R37</x:v>
      </x:c>
      <x:c r="F33" s="9" t="str">
        <x:v>0603 封装</x:v>
      </x:c>
      <x:c r="G33" s="9" t="str">
        <x:v>已匹配工程；下单时复核库存</x:v>
      </x:c>
      <x:c r="H33" s="9" t="str">
        <x:v>https://atta.szlcsc.com/upload/public/pdf/source/20200306/C422600_1E6D84923E4A46A82E41ADD87F860B5C.pdf</x:v>
      </x:c>
    </x:row>
    <x:row r="34" ht="64" customHeight="1">
      <x:c r="A34" s="10" t="str">
        <x:v>C17903</x:v>
      </x:c>
      <x:c r="B34" s="10" t="str">
        <x:v>1206W4F100JT5E</x:v>
      </x:c>
      <x:c r="C34" s="15" t="n">
        <x:v>1</x:v>
      </x:c>
      <x:c r="D34" s="15" t="n">
        <x:f>C34*$B$3</x:f>
        <x:v>1</x:v>
      </x:c>
      <x:c r="E34" s="10" t="str">
        <x:v>R39</x:v>
      </x:c>
      <x:c r="F34" s="10" t="str">
        <x:v>1206</x:v>
      </x:c>
      <x:c r="G34" s="10" t="str">
        <x:v>已匹配工程；下单时复核库存</x:v>
      </x:c>
      <x:c r="H34" s="10" t="str">
        <x:v>https://item.szlcsc.com/datasheet/1206W4F100JT5E/18591.html</x:v>
      </x:c>
    </x:row>
    <x:row r="35" ht="64" customHeight="1">
      <x:c r="A35" s="9" t="str">
        <x:v>C23345</x:v>
      </x:c>
      <x:c r="B35" s="9" t="str">
        <x:v>0603WAF220JT5E</x:v>
      </x:c>
      <x:c r="C35" s="14" t="n">
        <x:v>2</x:v>
      </x:c>
      <x:c r="D35" s="14" t="n">
        <x:f>C35*$B$3</x:f>
        <x:v>2</x:v>
      </x:c>
      <x:c r="E35" s="9" t="str">
        <x:v>R103,R104</x:v>
      </x:c>
      <x:c r="F35" s="9" t="str">
        <x:v>0603 封装</x:v>
      </x:c>
      <x:c r="G35" s="9" t="str">
        <x:v>已匹配工程；下单时复核库存</x:v>
      </x:c>
      <x:c r="H35" s="9" t="str">
        <x:v>https://atta.szlcsc.com/upload/public/pdf/source/20200306/C422600_1E6D84923E4A46A82E41ADD87F860B5C.pdf</x:v>
      </x:c>
    </x:row>
    <x:row r="36" ht="64" customHeight="1">
      <x:c r="A36" s="10" t="str">
        <x:v>C22763</x:v>
      </x:c>
      <x:c r="B36" s="10" t="str">
        <x:v>0603WAF1181T5E</x:v>
      </x:c>
      <x:c r="C36" s="15" t="n">
        <x:v>1</x:v>
      </x:c>
      <x:c r="D36" s="15" t="n">
        <x:f>C36*$B$3</x:f>
        <x:v>1</x:v>
      </x:c>
      <x:c r="E36" s="10" t="str">
        <x:v>R110</x:v>
      </x:c>
      <x:c r="F36" s="10" t="str">
        <x:v>0603 封装</x:v>
      </x:c>
      <x:c r="G36" s="10" t="str">
        <x:v>已匹配工程；下单时复核库存</x:v>
      </x:c>
      <x:c r="H36" s="10" t="str">
        <x:v>https://item.szlcsc.com/datasheet/0603WAF1181T5E/23490.html</x:v>
      </x:c>
    </x:row>
    <x:row r="37" ht="64" customHeight="1">
      <x:c r="A37" s="9" t="str">
        <x:v>C21190</x:v>
      </x:c>
      <x:c r="B37" s="9" t="str">
        <x:v>0603WAF1001T5E</x:v>
      </x:c>
      <x:c r="C37" s="14" t="n">
        <x:v>9</x:v>
      </x:c>
      <x:c r="D37" s="14" t="n">
        <x:f>C37*$B$3</x:f>
        <x:v>9</x:v>
      </x:c>
      <x:c r="E37" s="9" t="str">
        <x:v>R111,R119,R129,R130,R131,R132,R133,R134,R135</x:v>
      </x:c>
      <x:c r="F37" s="9" t="str">
        <x:v>0603 封装</x:v>
      </x:c>
      <x:c r="G37" s="9" t="str">
        <x:v>已匹配工程；下单时复核库存</x:v>
      </x:c>
      <x:c r="H37" s="9" t="str">
        <x:v>https://item.szlcsc.com/datasheet/0603WAF1001T5E/21904.html</x:v>
      </x:c>
    </x:row>
    <x:row r="38" ht="64" customHeight="1">
      <x:c r="A38" s="10" t="str">
        <x:v>C23098</x:v>
      </x:c>
      <x:c r="B38" s="10" t="str">
        <x:v>0603WAF6982T5E</x:v>
      </x:c>
      <x:c r="C38" s="15" t="n">
        <x:v>1</x:v>
      </x:c>
      <x:c r="D38" s="15" t="n">
        <x:f>C38*$B$3</x:f>
        <x:v>1</x:v>
      </x:c>
      <x:c r="E38" s="10" t="str">
        <x:v>R112</x:v>
      </x:c>
      <x:c r="F38" s="10" t="str">
        <x:v>0603 封装</x:v>
      </x:c>
      <x:c r="G38" s="10" t="str">
        <x:v>已匹配工程；下单时复核库存</x:v>
      </x:c>
      <x:c r="H38" s="10" t="str">
        <x:v>https://item.szlcsc.com/datasheet/0603WAF6982T5E/23825.html</x:v>
      </x:c>
    </x:row>
    <x:row r="39" ht="64" customHeight="1">
      <x:c r="A39" s="9" t="str">
        <x:v>C719312</x:v>
      </x:c>
      <x:c r="B39" s="9" t="str">
        <x:v>RT0603BRD07560KL</x:v>
      </x:c>
      <x:c r="C39" s="14" t="n">
        <x:v>1</x:v>
      </x:c>
      <x:c r="D39" s="14" t="n">
        <x:f>C39*$B$3</x:f>
        <x:v>1</x:v>
      </x:c>
      <x:c r="E39" s="9" t="str">
        <x:v>R117</x:v>
      </x:c>
      <x:c r="F39" s="9" t="str">
        <x:v>0603 封装</x:v>
      </x:c>
      <x:c r="G39" s="9" t="str">
        <x:v>已匹配工程；下单时复核库存</x:v>
      </x:c>
      <x:c r="H39" s="9" t="str">
        <x:v>https://atta.szlcsc.com/upload/public/pdf/source/20200610/C326738_5639A9F1B6EB6E4AE2197577D3456E7F.pdf</x:v>
      </x:c>
    </x:row>
    <x:row r="40" ht="64" customHeight="1">
      <x:c r="A40" s="10" t="str">
        <x:v>C122538</x:v>
      </x:c>
      <x:c r="B40" s="10" t="str">
        <x:v>RT0603BRD07100KL</x:v>
      </x:c>
      <x:c r="C40" s="15" t="n">
        <x:v>1</x:v>
      </x:c>
      <x:c r="D40" s="15" t="n">
        <x:f>C40*$B$3</x:f>
        <x:v>1</x:v>
      </x:c>
      <x:c r="E40" s="10" t="str">
        <x:v>R118</x:v>
      </x:c>
      <x:c r="F40" s="10" t="str">
        <x:v>0603 封装</x:v>
      </x:c>
      <x:c r="G40" s="10" t="str">
        <x:v>已匹配工程；下单时复核库存</x:v>
      </x:c>
      <x:c r="H40" s="10" t="str">
        <x:v>https://atta.szlcsc.com/upload/public/pdf/source/20170721/C122538_1500619326323834092.pdf</x:v>
      </x:c>
    </x:row>
    <x:row r="41" ht="64" customHeight="1">
      <x:c r="A41" s="9" t="str">
        <x:v>C23239</x:v>
      </x:c>
      <x:c r="B41" s="9" t="str">
        <x:v>0603WAF7323T5E</x:v>
      </x:c>
      <x:c r="C41" s="14" t="n">
        <x:v>1</x:v>
      </x:c>
      <x:c r="D41" s="14" t="n">
        <x:f>C41*$B$3</x:f>
        <x:v>1</x:v>
      </x:c>
      <x:c r="E41" s="9" t="str">
        <x:v>R121</x:v>
      </x:c>
      <x:c r="F41" s="9" t="str">
        <x:v>0603 封装</x:v>
      </x:c>
      <x:c r="G41" s="9" t="str">
        <x:v>已匹配工程；下单时复核库存</x:v>
      </x:c>
      <x:c r="H41" s="9" t="str">
        <x:v>https://item.szlcsc.com/datasheet/0603WAF7323T5E/23966.html</x:v>
      </x:c>
    </x:row>
    <x:row r="42" ht="64" customHeight="1">
      <x:c r="A42" s="10" t="str">
        <x:v>C23259</x:v>
      </x:c>
      <x:c r="B42" s="10" t="str">
        <x:v>0603WAF8873T5E</x:v>
      </x:c>
      <x:c r="C42" s="15" t="n">
        <x:v>1</x:v>
      </x:c>
      <x:c r="D42" s="15" t="n">
        <x:f>C42*$B$3</x:f>
        <x:v>1</x:v>
      </x:c>
      <x:c r="E42" s="10" t="str">
        <x:v>R137</x:v>
      </x:c>
      <x:c r="F42" s="10" t="str">
        <x:v>0603 封装</x:v>
      </x:c>
      <x:c r="G42" s="10" t="str">
        <x:v>已匹配工程；下单时复核库存</x:v>
      </x:c>
      <x:c r="H42" s="10" t="str">
        <x:v>https://item.szlcsc.com/datasheet/0603WAF8873T5E/23986.html</x:v>
      </x:c>
    </x:row>
    <x:row r="43" ht="64" customHeight="1">
      <x:c r="A43" s="9" t="str">
        <x:v>C455280</x:v>
      </x:c>
      <x:c r="B43" s="9" t="str">
        <x:v>TS-1088R-02026</x:v>
      </x:c>
      <x:c r="C43" s="14" t="n">
        <x:v>3</x:v>
      </x:c>
      <x:c r="D43" s="14" t="n">
        <x:f>C43*$B$3</x:f>
        <x:v>3</x:v>
      </x:c>
      <x:c r="E43" s="9" t="str">
        <x:v>SW1,SW2,SW3</x:v>
      </x:c>
      <x:c r="F43" s="9" t="str">
        <x:v>SMD,4x3mm</x:v>
      </x:c>
      <x:c r="G43" s="9" t="str">
        <x:v>已匹配工程；下单时复核库存</x:v>
      </x:c>
      <x:c r="H43" s="9" t="str">
        <x:v>https://item.szlcsc.com/datasheet/TS-1088R-02026/457635.html</x:v>
      </x:c>
    </x:row>
    <x:row r="44" ht="64" customHeight="1">
      <x:c r="A44" s="10" t="str">
        <x:v>C2913202</x:v>
      </x:c>
      <x:c r="B44" s="10" t="str">
        <x:v>ESP32-S3-WROOM-1-N16R8</x:v>
      </x:c>
      <x:c r="C44" s="15" t="n">
        <x:v>1</x:v>
      </x:c>
      <x:c r="D44" s="15" t="n">
        <x:f>C44*$B$3</x:f>
        <x:v>1</x:v>
      </x:c>
      <x:c r="E44" s="10" t="str">
        <x:v>U1</x:v>
      </x:c>
      <x:c r="F44" s="10" t="str">
        <x:v>SMD,25.5x18mm</x:v>
      </x:c>
      <x:c r="G44" s="10" t="str">
        <x:v>已匹配工程；下单时复核库存</x:v>
      </x:c>
      <x:c r="H44" s="10" t="str">
        <x:v>https://item.szlcsc.com/datasheet/ESP32-S3-WROOM-1-N16R8/3198300.html</x:v>
      </x:c>
    </x:row>
    <x:row r="45" ht="64" customHeight="1">
      <x:c r="A45" s="9" t="str">
        <x:v>C2836813</x:v>
      </x:c>
      <x:c r="B45" s="9" t="str">
        <x:v>BMI270</x:v>
      </x:c>
      <x:c r="C45" s="14" t="n">
        <x:v>1</x:v>
      </x:c>
      <x:c r="D45" s="14" t="n">
        <x:f>C45*$B$3</x:f>
        <x:v>1</x:v>
      </x:c>
      <x:c r="E45" s="9" t="str">
        <x:v>U2</x:v>
      </x:c>
      <x:c r="F45" s="9" t="str">
        <x:v>LGA-14(2.5x3)</x:v>
      </x:c>
      <x:c r="G45" s="9" t="str">
        <x:v>已匹配工程；下单时复核库存</x:v>
      </x:c>
      <x:c r="H45" s="9" t="str">
        <x:v>https://item.szlcsc.com/datasheet/BMI270/3005172.html</x:v>
      </x:c>
    </x:row>
    <x:row r="46" ht="64" customHeight="1">
      <x:c r="A46" s="10" t="str">
        <x:v>C2652051</x:v>
      </x:c>
      <x:c r="B46" s="10" t="str">
        <x:v>CAP1296-1-AIA-TR</x:v>
      </x:c>
      <x:c r="C46" s="15" t="n">
        <x:v>1</x:v>
      </x:c>
      <x:c r="D46" s="15" t="n">
        <x:f>C46*$B$3</x:f>
        <x:v>1</x:v>
      </x:c>
      <x:c r="E46" s="10" t="str">
        <x:v>U3</x:v>
      </x:c>
      <x:c r="F46" s="10" t="str">
        <x:v>DFN-10-EP(3x3)</x:v>
      </x:c>
      <x:c r="G46" s="10" t="str">
        <x:v>已匹配工程；下单时复核库存</x:v>
      </x:c>
      <x:c r="H46" s="10" t="str">
        <x:v>https://atta.szlcsc.com/upload/public/pdf/source/20220204/C2652076_268955A7788DB89AC0FD8BF0BA338E88.pdf</x:v>
      </x:c>
    </x:row>
    <x:row r="47" ht="64" customHeight="1">
      <x:c r="A47" s="9" t="str">
        <x:v>C910544</x:v>
      </x:c>
      <x:c r="B47" s="9" t="str">
        <x:v>MAX98357AETE+T</x:v>
      </x:c>
      <x:c r="C47" s="14" t="n">
        <x:v>1</x:v>
      </x:c>
      <x:c r="D47" s="14" t="n">
        <x:f>C47*$B$3</x:f>
        <x:v>1</x:v>
      </x:c>
      <x:c r="E47" s="9" t="str">
        <x:v>U4</x:v>
      </x:c>
      <x:c r="F47" s="9" t="str">
        <x:v>TQFN-16-EP(3x3)</x:v>
      </x:c>
      <x:c r="G47" s="9" t="str">
        <x:v>已匹配工程；下单时复核库存</x:v>
      </x:c>
      <x:c r="H47" s="9" t="str">
        <x:v>https://item.szlcsc.com/datasheet/MAX98357AETE%252BT/978950.html</x:v>
      </x:c>
    </x:row>
    <x:row r="48" ht="64" customHeight="1">
      <x:c r="A48" s="10" t="str">
        <x:v>C49230436</x:v>
      </x:c>
      <x:c r="B48" s="10" t="str">
        <x:v>LMD3526T261-OA5</x:v>
      </x:c>
      <x:c r="C48" s="15" t="n">
        <x:v>1</x:v>
      </x:c>
      <x:c r="D48" s="15" t="n">
        <x:f>C48*$B$3</x:f>
        <x:v>1</x:v>
      </x:c>
      <x:c r="E48" s="10" t="str">
        <x:v>U5</x:v>
      </x:c>
      <x:c r="F48" s="10" t="str">
        <x:v>SMD</x:v>
      </x:c>
      <x:c r="G48" s="10" t="str">
        <x:v>已匹配工程；下单时复核库存</x:v>
      </x:c>
      <x:c r="H48" s="10" t="str">
        <x:v>https://item.szlcsc.com/datasheet/LMD3526T261-OA5/51641535.html</x:v>
      </x:c>
    </x:row>
    <x:row r="49" ht="64" customHeight="1">
      <x:c r="A49" s="9" t="str">
        <x:v>C783615</x:v>
      </x:c>
      <x:c r="B49" s="9" t="str">
        <x:v>TCA9534PWR</x:v>
      </x:c>
      <x:c r="C49" s="14" t="n">
        <x:v>1</x:v>
      </x:c>
      <x:c r="D49" s="14" t="n">
        <x:f>C49*$B$3</x:f>
        <x:v>1</x:v>
      </x:c>
      <x:c r="E49" s="9" t="str">
        <x:v>U7</x:v>
      </x:c>
      <x:c r="F49" s="9" t="str">
        <x:v>TSSOP-16</x:v>
      </x:c>
      <x:c r="G49" s="9" t="str">
        <x:v>已匹配工程；下单时复核库存</x:v>
      </x:c>
      <x:c r="H49" s="9" t="str">
        <x:v>https://www.ti.com/cn/lit/ds/symlink/tca9534.pdf</x:v>
      </x:c>
    </x:row>
    <x:row r="50" ht="64" customHeight="1">
      <x:c r="A50" s="10" t="str">
        <x:v>C7519</x:v>
      </x:c>
      <x:c r="B50" s="10" t="str">
        <x:v>USBLC6-2SC6</x:v>
      </x:c>
      <x:c r="C50" s="15" t="n">
        <x:v>1</x:v>
      </x:c>
      <x:c r="D50" s="15" t="n">
        <x:f>C50*$B$3</x:f>
        <x:v>1</x:v>
      </x:c>
      <x:c r="E50" s="10" t="str">
        <x:v>U101</x:v>
      </x:c>
      <x:c r="F50" s="10" t="str">
        <x:v>SOT-23-6L</x:v>
      </x:c>
      <x:c r="G50" s="10" t="str">
        <x:v>已匹配工程；下单时复核库存</x:v>
      </x:c>
      <x:c r="H50" s="10" t="str">
        <x:v>https://item.szlcsc.com/datasheet/USBLC6-2SC6/7996.html</x:v>
      </x:c>
    </x:row>
    <x:row r="51" ht="64" customHeight="1">
      <x:c r="A51" s="9" t="str">
        <x:v>C15464</x:v>
      </x:c>
      <x:c r="B51" s="9" t="str">
        <x:v>BQ24075RGTR</x:v>
      </x:c>
      <x:c r="C51" s="14" t="n">
        <x:v>1</x:v>
      </x:c>
      <x:c r="D51" s="14" t="n">
        <x:f>C51*$B$3</x:f>
        <x:v>1</x:v>
      </x:c>
      <x:c r="E51" s="9" t="str">
        <x:v>U102</x:v>
      </x:c>
      <x:c r="F51" s="9" t="str">
        <x:v>QFN-16-EP(3x3)</x:v>
      </x:c>
      <x:c r="G51" s="9" t="str">
        <x:v>已匹配工程；下单时复核库存</x:v>
      </x:c>
      <x:c r="H51" s="9" t="str">
        <x:v>https://www.ti.com/cn/lit/ds/symlink/bq24075.pdf</x:v>
      </x:c>
    </x:row>
    <x:row r="52" ht="64" customHeight="1">
      <x:c r="A52" s="10" t="str">
        <x:v>C2845237</x:v>
      </x:c>
      <x:c r="B52" s="10" t="str">
        <x:v>TPS63802DLAR</x:v>
      </x:c>
      <x:c r="C52" s="15" t="n">
        <x:v>1</x:v>
      </x:c>
      <x:c r="D52" s="15" t="n">
        <x:f>C52*$B$3</x:f>
        <x:v>1</x:v>
      </x:c>
      <x:c r="E52" s="10" t="str">
        <x:v>U103</x:v>
      </x:c>
      <x:c r="F52" s="10" t="str">
        <x:v>VSON-10(2x3)</x:v>
      </x:c>
      <x:c r="G52" s="10" t="str">
        <x:v>已匹配工程；下单时复核库存</x:v>
      </x:c>
      <x:c r="H52" s="10" t="str">
        <x:v>https://www.ti.com/cn/lit/ds/symlink/tps63802.pdf</x:v>
      </x:c>
    </x:row>
    <x:row r="53" ht="64" customHeight="1">
      <x:c r="A53" s="9" t="str">
        <x:v>C919459</x:v>
      </x:c>
      <x:c r="B53" s="9" t="str">
        <x:v>TPS61023DRLR</x:v>
      </x:c>
      <x:c r="C53" s="14" t="n">
        <x:v>1</x:v>
      </x:c>
      <x:c r="D53" s="14" t="n">
        <x:f>C53*$B$3</x:f>
        <x:v>1</x:v>
      </x:c>
      <x:c r="E53" s="9" t="str">
        <x:v>U104</x:v>
      </x:c>
      <x:c r="F53" s="9" t="str">
        <x:v>SOT-563</x:v>
      </x:c>
      <x:c r="G53" s="9" t="str">
        <x:v>已匹配工程；下单时复核库存</x:v>
      </x:c>
      <x:c r="H53" s="9" t="str">
        <x:v>https://www.ti.com.cn/cn/lit/ds/symlink/tps61023.pdf?ts=1728812468331&amp;ref_url=https%253A%252F%252Fwww.ti.com.cn%252Fproduct%252Fcn%252FTPS61023</x:v>
      </x:c>
    </x:row>
    <x:row r="54" ht="64" customHeight="1">
      <x:c r="A54" s="10" t="str">
        <x:v>C527464</x:v>
      </x:c>
      <x:c r="B54" s="10" t="str">
        <x:v>DRV2605LDGSR</x:v>
      </x:c>
      <x:c r="C54" s="15" t="n">
        <x:v>1</x:v>
      </x:c>
      <x:c r="D54" s="15" t="n">
        <x:f>C54*$B$3</x:f>
        <x:v>1</x:v>
      </x:c>
      <x:c r="E54" s="10" t="str">
        <x:v>U105</x:v>
      </x:c>
      <x:c r="F54" s="10" t="str">
        <x:v>VSSOP-10-0.5mm</x:v>
      </x:c>
      <x:c r="G54" s="10" t="str">
        <x:v>已匹配工程；下单时复核库存</x:v>
      </x:c>
      <x:c r="H54" s="10" t="str">
        <x:v>https://www.ti.com/cn/lit/ds/symlink/drv2605l.pdf</x:v>
      </x:c>
    </x:row>
    <x:row r="55" ht="64" customHeight="1">
      <x:c r="A55" s="9" t="str">
        <x:v>C132554</x:v>
      </x:c>
      <x:c r="B55" s="9" t="str">
        <x:v>TUSB320LAIRWBR</x:v>
      </x:c>
      <x:c r="C55" s="14" t="n">
        <x:v>1</x:v>
      </x:c>
      <x:c r="D55" s="14" t="n">
        <x:f>C55*$B$3</x:f>
        <x:v>1</x:v>
      </x:c>
      <x:c r="E55" s="9" t="str">
        <x:v>U106</x:v>
      </x:c>
      <x:c r="F55" s="9" t="str">
        <x:v>X2-QFN-12(1.6x1.6)</x:v>
      </x:c>
      <x:c r="G55" s="9" t="str">
        <x:v>已匹配工程；下单时复核库存</x:v>
      </x:c>
      <x:c r="H55" s="9" t="str">
        <x:v>https://www.ti.com/cn/lit/ds/symlink/tusb320lai.pdf</x:v>
      </x:c>
    </x:row>
    <x:row r="56" ht="64" customHeight="1">
      <x:c r="A56" s="10" t="str">
        <x:v>C404027</x:v>
      </x:c>
      <x:c r="B56" s="10" t="str">
        <x:v>TLV75533PDBVR</x:v>
      </x:c>
      <x:c r="C56" s="15" t="n">
        <x:v>1</x:v>
      </x:c>
      <x:c r="D56" s="15" t="n">
        <x:f>C56*$B$3</x:f>
        <x:v>1</x:v>
      </x:c>
      <x:c r="E56" s="10" t="str">
        <x:v>U107</x:v>
      </x:c>
      <x:c r="F56" s="10" t="str">
        <x:v>SOT-23-5</x:v>
      </x:c>
      <x:c r="G56" s="10" t="str">
        <x:v>已匹配工程；下单时复核库存</x:v>
      </x:c>
      <x:c r="H56" s="10" t="str">
        <x:v>https://www.ti.com/cn/lit/ds/symlink/tlv755p.pdf</x:v>
      </x:c>
    </x:row>
    <x:row r="57" ht="64" customHeight="1">
      <x:c r="A57" s="9" t="str">
        <x:v>C7827</x:v>
      </x:c>
      <x:c r="B57" s="9" t="str">
        <x:v>SN74LVC1G04DBVR</x:v>
      </x:c>
      <x:c r="C57" s="14" t="n">
        <x:v>1</x:v>
      </x:c>
      <x:c r="D57" s="14" t="n">
        <x:f>C57*$B$3</x:f>
        <x:v>1</x:v>
      </x:c>
      <x:c r="E57" s="9" t="str">
        <x:v>U108</x:v>
      </x:c>
      <x:c r="F57" s="9" t="str">
        <x:v>SOT-23-5</x:v>
      </x:c>
      <x:c r="G57" s="9" t="str">
        <x:v>已匹配工程；下单时复核库存</x:v>
      </x:c>
      <x:c r="H57" s="9" t="str">
        <x:v>https://www.ti.com/cn/lit/ds/symlink/sn74lvc1g04.pdf</x:v>
      </x:c>
    </x:row>
  </x:sheetData>
  <x:dataValidations count="1">
    <x:dataValidation type="whole" operator="between" sqref="B3">
      <x:formula1>1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307571abba247e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.220000267028809" hidden="0" customWidth="1"/>
    <x:col min="2" max="2" width="28.889999389648438" hidden="0" customWidth="1"/>
    <x:col min="3" max="3" width="17.780000686645508" hidden="0" customWidth="1"/>
    <x:col min="4" max="4" width="9.4399995803833" hidden="0" customWidth="1"/>
    <x:col min="5" max="5" width="10.5600004196167" hidden="0" customWidth="1"/>
    <x:col min="6" max="6" width="10.5600004196167" hidden="0" customWidth="1"/>
    <x:col min="7" max="7" width="25.559999465942383" hidden="0" customWidth="1"/>
    <x:col min="8" max="8" width="54.439998626708984" hidden="0" customWidth="1"/>
    <x:col min="9" max="9" width="36.669998168945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外置器件与屏幕记录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核价日期：2026-10-21。屏幕用户已有，不购买。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NFC候选现货未确认；未加入购买数量。马达、扬声器需另配线束。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28" customHeight="1">
      <x:c r="A6" s="7" t="str">
        <x:v>用途</x:v>
      </x:c>
      <x:c r="B6" s="7" t="str">
        <x:v>型号</x:v>
      </x:c>
      <x:c r="C6" s="7" t="str">
        <x:v>立创料号</x:v>
      </x:c>
      <x:c r="D6" s="7" t="str">
        <x:v>购买数量</x:v>
      </x:c>
      <x:c r="E6" s="7" t="str">
        <x:v>1件价/元</x:v>
      </x:c>
      <x:c r="F6" s="7" t="str">
        <x:v>库存/个</x:v>
      </x:c>
      <x:c r="G6" s="7" t="str">
        <x:v>选型状态</x:v>
      </x:c>
      <x:c r="H6" s="7" t="str">
        <x:v>适配条件</x:v>
      </x:c>
      <x:c r="I6" s="7" t="str">
        <x:v>来源</x:v>
      </x:c>
    </x:row>
    <x:row r="7" ht="95" customHeight="1">
      <x:c r="A7" s="9" t="str">
        <x:v>LRA线性马达</x:v>
      </x:c>
      <x:c r="B7" s="9" t="str">
        <x:v>LD0825BC-0169F</x:v>
      </x:c>
      <x:c r="C7" s="9" t="str">
        <x:v>C5632412</x:v>
      </x:c>
      <x:c r="D7" s="9" t="n">
        <x:v>1</x:v>
      </x:c>
      <x:c r="E7" s="16" t="n">
        <x:v>9.16</x:v>
      </x:c>
      <x:c r="F7" s="9" t="n">
        <x:v>18</x:v>
      </x:c>
      <x:c r="G7" s="9" t="str">
        <x:v>已选；商城现货</x:v>
      </x:c>
      <x:c r="H7" s="9" t="str">
        <x:v>1.2Vrms，240±10Hz；8×2.55mm；接J110，另配SH1.0线束。REV02与商品标题频率不同，按原厂REV02校准。</x:v>
      </x:c>
      <x:c r="I7" s="9" t="str">
        <x:v>https://item.szlcsc.com/6552539.html</x:v>
      </x:c>
    </x:row>
    <x:row r="8" ht="95" customHeight="1">
      <x:c r="A8" s="10" t="str">
        <x:v>扬声器</x:v>
      </x:c>
      <x:c r="B8" s="10" t="str">
        <x:v>20MM-8Ω2W-JFHM</x:v>
      </x:c>
      <x:c r="C8" s="10" t="str">
        <x:v>C50387209</x:v>
      </x:c>
      <x:c r="D8" s="10" t="n">
        <x:v>1</x:v>
      </x:c>
      <x:c r="E8" s="17" t="n">
        <x:v>4.41</x:v>
      </x:c>
      <x:c r="F8" s="10" t="n">
        <x:v>33</x:v>
      </x:c>
      <x:c r="G8" s="10" t="str">
        <x:v>已选；商城现货</x:v>
      </x:c>
      <x:c r="H8" s="10" t="str">
        <x:v>8Ω/2W，直径20mm，高5.1mm；接J3。板上保留26×26mm正面结构空间，需绝缘垫及声腔。</x:v>
      </x:c>
      <x:c r="I8" s="10" t="str">
        <x:v>https://item.szlcsc.com/53008592.html</x:v>
      </x:c>
    </x:row>
    <x:row r="9" ht="95" customHeight="1">
      <x:c r="A9" s="9" t="str">
        <x:v>NFC模块</x:v>
      </x:c>
      <x:c r="B9" s="9" t="str">
        <x:v>Grove NFC 113020006 / PN532</x:v>
      </x:c>
      <x:c r="C9" s="9" t="str">
        <x:v>C445568（历史料号）</x:v>
      </x:c>
      <x:c r="D9" s="9" t="n">
        <x:v>0</x:v>
      </x:c>
      <x:c r="E9" s="16"/>
      <x:c r="F9" s="9" t="str">
        <x:v>未确认</x:v>
      </x:c>
      <x:c r="G9" s="9" t="str">
        <x:v>候选；现货未确认，暂不下单</x:v>
      </x:c>
      <x:c r="H9" s="9" t="str">
        <x:v>3.3V，I2C模式地址0x24；默认UART需改跳线。25.43×20.35mm，外置天线。需按J201制作线束。</x:v>
      </x:c>
      <x:c r="I9" s="9" t="str">
        <x:v>https://wiki.seeedstudio.com/Grove_NFC/</x:v>
      </x:c>
    </x:row>
    <x:row r="10" ht="95" customHeight="1">
      <x:c r="A10" s="10" t="str">
        <x:v>用户现有屏幕</x:v>
      </x:c>
      <x:c r="B10" s="10" t="str">
        <x:v>GC9A01</x:v>
      </x:c>
      <x:c r="C10" s="10" t="str">
        <x:v>用户已有</x:v>
      </x:c>
      <x:c r="D10" s="10" t="n">
        <x:v>0</x:v>
      </x:c>
      <x:c r="E10" s="17"/>
      <x:c r="F10" s="10" t="str">
        <x:v>未确认</x:v>
      </x:c>
      <x:c r="G10" s="10" t="str">
        <x:v>不采购</x:v>
      </x:c>
      <x:c r="H10" s="10" t="str">
        <x:v>沿用12针FPC定义；接线方向、逻辑电源及LED额定电流仍需与手头屏幕型号核对。</x:v>
      </x:c>
      <x:c r="I10" s="10"/>
    </x:row>
    <x:row r="11" ht="95" customHeight="1">
      <x:c r="A11" s="9" t="str">
        <x:v>屏幕备查</x:v>
      </x:c>
      <x:c r="B11" s="9" t="str">
        <x:v>Waveshare 1.28英寸GC9A01模块</x:v>
      </x:c>
      <x:c r="C11" s="9" t="str">
        <x:v>C5374684</x:v>
      </x:c>
      <x:c r="D11" s="9" t="n">
        <x:v>0</x:v>
      </x:c>
      <x:c r="E11" s="16" t="n">
        <x:v>87.79</x:v>
      </x:c>
      <x:c r="F11" s="9" t="n">
        <x:v>0</x:v>
      </x:c>
      <x:c r="G11" s="9" t="str">
        <x:v>仅记录，不采购</x:v>
      </x:c>
      <x:c r="H11" s="9" t="str">
        <x:v>8针模块不能直接插现有12针FPC。</x:v>
      </x:c>
      <x:c r="I11" s="9" t="str">
        <x:v>https://item.szlcsc.com/6230043.html</x:v>
      </x:c>
    </x:row>
    <x:row r="12" ht="95" customHeight="1">
      <x:c r="A12" s="10" t="str">
        <x:v>屏幕备查</x:v>
      </x:c>
      <x:c r="B12" s="10" t="str">
        <x:v>PG1301HA-ZA0</x:v>
      </x:c>
      <x:c r="C12" s="10" t="str">
        <x:v>C17215183</x:v>
      </x:c>
      <x:c r="D12" s="10" t="n">
        <x:v>0</x:v>
      </x:c>
      <x:c r="E12" s="17" t="n">
        <x:v>230.8</x:v>
      </x:c>
      <x:c r="F12" s="10" t="n">
        <x:v>0</x:v>
      </x:c>
      <x:c r="G12" s="10" t="str">
        <x:v>仅记录，不采购</x:v>
      </x:c>
      <x:c r="H12" s="10" t="str">
        <x:v>前次查询无现货；不是用户实物屏幕的兼容性证明。</x:v>
      </x:c>
      <x:c r="I12" s="10" t="str">
        <x:v>https://item.szlcsc.com/18344256.html</x:v>
      </x:c>
    </x:row>
    <x:row r="13" ht="95" customHeight="1">
      <x:c r="A13" s="9" t="str">
        <x:v>屏幕备查</x:v>
      </x:c>
      <x:c r="B13" s="9" t="str">
        <x:v>HY013001</x:v>
      </x:c>
      <x:c r="C13" s="9" t="str">
        <x:v>C2908591</x:v>
      </x:c>
      <x:c r="D13" s="9" t="n">
        <x:v>0</x:v>
      </x:c>
      <x:c r="E13" s="16"/>
      <x:c r="F13" s="9" t="n">
        <x:v>0</x:v>
      </x:c>
      <x:c r="G13" s="9" t="str">
        <x:v>已停售，不采购</x:v>
      </x:c>
      <x:c r="H13" s="9" t="str">
        <x:v>保留检索记录。</x:v>
      </x:c>
      <x:c r="I13" s="9" t="str">
        <x:v>https://item.szlcsc.com/3184303.html</x:v>
      </x:c>
    </x:row>
    <x:row r="14" ht="95" customHeight="1">
      <x:c r="A14" s="10" t="str">
        <x:v>NFC备查</x:v>
      </x:c>
      <x:c r="B14" s="10" t="str">
        <x:v>MH1612S-NFC-EVB-V3</x:v>
      </x:c>
      <x:c r="C14" s="10" t="str">
        <x:v>C54934871</x:v>
      </x:c>
      <x:c r="D14" s="10" t="n">
        <x:v>0</x:v>
      </x:c>
      <x:c r="E14" s="17"/>
      <x:c r="F14" s="10" t="str">
        <x:v>未确认</x:v>
      </x:c>
      <x:c r="G14" s="10" t="str">
        <x:v>不替换本版</x:v>
      </x:c>
      <x:c r="H14" s="10" t="str">
        <x:v>55×40mm超过34mm板宽，默认SPI；I2C地址和复位线适配未闭合，不能当PN532直接替代。</x:v>
      </x:c>
      <x:c r="I14" s="10" t="str">
        <x:v>https://www.lcsc.com/fr/product-detail/C54934871.html</x:v>
      </x:c>
    </x:row>
  </x:sheetData>
  <x:conditionalFormatting sqref="G7:G14">
    <x:cfRule type="containsText" dxfId="0" priority="1" operator="containsText" text="未确认"/>
  </x:conditionalFormatting>
  <x:pageMargins left="0.7" right="0.7" top="0.75" bottom="0.75" header="0.3" footer="0.3"/>
  <x:tableParts count="1">
    <x:tablePart xmlns:r="http://schemas.openxmlformats.org/officeDocument/2006/relationships" r:id="R25fd9929a5344f1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8.329999923706055" hidden="0" customWidth="1"/>
    <x:col min="2" max="2" width="28.889999389648438" hidden="0" customWidth="1"/>
    <x:col min="3" max="3" width="12.779999732971191" hidden="0" customWidth="1"/>
    <x:col min="4" max="4" width="7.21999979019165" hidden="0" customWidth="1"/>
    <x:col min="5" max="5" width="47.779998779296875" hidden="0" customWidth="1"/>
    <x:col min="6" max="6" width="60" hidden="0" customWidth="1"/>
    <x:col min="7" max="7" width="23.329999923706055" hidden="0" customWidth="1"/>
    <x:col min="8" max="8" width="36.669998168945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137个元件逐项核查</x:v>
      </x:c>
      <x:c r="B2" s="2"/>
      <x:c r="C2" s="2"/>
      <x:c r="D2" s="2"/>
      <x:c r="E2" s="2"/>
      <x:c r="F2" s="2"/>
      <x:c r="G2" s="2"/>
      <x:c r="H2" s="2"/>
    </x:row>
    <x:row r="3">
      <x:c r="A3" s="2" t="str">
        <x:v>原理图/PCB网络、料号、封装与额定参数核查；不等于样机电气和温升测试。</x:v>
      </x:c>
      <x:c r="B3" s="2"/>
      <x:c r="C3" s="2"/>
      <x:c r="D3" s="2"/>
      <x:c r="E3" s="2"/>
      <x:c r="F3" s="2"/>
      <x:c r="G3" s="2"/>
      <x:c r="H3" s="2"/>
    </x:row>
    <x:row r="4">
      <x:c r="A4" s="2" t="str">
        <x:v>PCB与原理图原生规则检查0错误；同面重叠及穿孔干涉检查0项。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28" customHeight="1">
      <x:c r="A6" s="7" t="str">
        <x:v>位号</x:v>
      </x:c>
      <x:c r="B6" s="7" t="str">
        <x:v>制造商型号</x:v>
      </x:c>
      <x:c r="C6" s="7" t="str">
        <x:v>立创料号</x:v>
      </x:c>
      <x:c r="D6" s="7" t="str">
        <x:v>面别</x:v>
      </x:c>
      <x:c r="E6" s="7" t="str">
        <x:v>引脚网络</x:v>
      </x:c>
      <x:c r="F6" s="7" t="str">
        <x:v>核查内容</x:v>
      </x:c>
      <x:c r="G6" s="7" t="str">
        <x:v>结论/条件</x:v>
      </x:c>
      <x:c r="H6" s="7" t="str">
        <x:v>资料</x:v>
      </x:c>
    </x:row>
    <x:row r="7" ht="88" customHeight="1">
      <x:c r="A7" s="9" t="str">
        <x:v>C1</x:v>
      </x:c>
      <x:c r="B7" s="9" t="str">
        <x:v>CC0603KRX7R9BB104</x:v>
      </x:c>
      <x:c r="C7" s="9" t="str">
        <x:v>C14663</x:v>
      </x:c>
      <x:c r="D7" s="9" t="str">
        <x:v>顶面</x:v>
      </x:c>
      <x:c r="E7" s="9" t="str">
        <x:v>1=+3V3; 2=GND</x:v>
      </x:c>
      <x:c r="F7" s="9" t="str">
        <x:v>电容100nF，额定耐压50V；逐脚网络和封装已比对。MLCC直流偏压后的有效容量及样机纹波仍需验证。</x:v>
      </x:c>
      <x:c r="G7" s="9" t="str">
        <x:v>设计核查完成；样机验证</x:v>
      </x:c>
      <x:c r="H7" s="9" t="str">
        <x:v>https://item.szlcsc.com/datasheet/CC0603KRX7R9BB104/15331.html</x:v>
      </x:c>
    </x:row>
    <x:row r="8" ht="88" customHeight="1">
      <x:c r="A8" s="10" t="str">
        <x:v>C2</x:v>
      </x:c>
      <x:c r="B8" s="10" t="str">
        <x:v>CC0603KRX7R9BB104</x:v>
      </x:c>
      <x:c r="C8" s="10" t="str">
        <x:v>C14663</x:v>
      </x:c>
      <x:c r="D8" s="10" t="str">
        <x:v>顶面</x:v>
      </x:c>
      <x:c r="E8" s="10" t="str">
        <x:v>1=+3V3; 2=GND</x:v>
      </x:c>
      <x:c r="F8" s="10" t="str">
        <x:v>电容100nF，额定耐压50V；逐脚网络和封装已比对。MLCC直流偏压后的有效容量及样机纹波仍需验证。</x:v>
      </x:c>
      <x:c r="G8" s="10" t="str">
        <x:v>设计核查完成；样机验证</x:v>
      </x:c>
      <x:c r="H8" s="10" t="str">
        <x:v>https://item.szlcsc.com/datasheet/CC0603KRX7R9BB104/15331.html</x:v>
      </x:c>
    </x:row>
    <x:row r="9" ht="88" customHeight="1">
      <x:c r="A9" s="9" t="str">
        <x:v>C3</x:v>
      </x:c>
      <x:c r="B9" s="9" t="str">
        <x:v>CL10A105KB8NNNC</x:v>
      </x:c>
      <x:c r="C9" s="9" t="str">
        <x:v>C15849</x:v>
      </x:c>
      <x:c r="D9" s="9" t="str">
        <x:v>顶面</x:v>
      </x:c>
      <x:c r="E9" s="9" t="str">
        <x:v>1=+3V3; 2=GND</x:v>
      </x:c>
      <x:c r="F9" s="9" t="str">
        <x:v>电容1uF，额定耐压50V；逐脚网络和封装已比对。MLCC直流偏压后的有效容量及样机纹波仍需验证。</x:v>
      </x:c>
      <x:c r="G9" s="9" t="str">
        <x:v>设计核查完成；样机验证</x:v>
      </x:c>
      <x:c r="H9" s="9" t="str">
        <x:v>https://item.szlcsc.com/datasheet/CL10A105KB8NNNC/16531.html</x:v>
      </x:c>
    </x:row>
    <x:row r="10" ht="88" customHeight="1">
      <x:c r="A10" s="10" t="str">
        <x:v>C4</x:v>
      </x:c>
      <x:c r="B10" s="10" t="str">
        <x:v>CL10A106KP8NNNC</x:v>
      </x:c>
      <x:c r="C10" s="10" t="str">
        <x:v>C19702</x:v>
      </x:c>
      <x:c r="D10" s="10" t="str">
        <x:v>顶面</x:v>
      </x:c>
      <x:c r="E10" s="10" t="str">
        <x:v>1=+3V3; 2=GND</x:v>
      </x:c>
      <x:c r="F10" s="10" t="str">
        <x:v>电容10uF，额定耐压10V；逐脚网络和封装已比对。MLCC直流偏压后的有效容量及样机纹波仍需验证。</x:v>
      </x:c>
      <x:c r="G10" s="10" t="str">
        <x:v>设计核查完成；样机验证</x:v>
      </x:c>
      <x:c r="H10" s="10" t="str">
        <x:v>https://item.szlcsc.com/datasheet/CL10A106KP8NNNC/20411.html</x:v>
      </x:c>
    </x:row>
    <x:row r="11" ht="88" customHeight="1">
      <x:c r="A11" s="9" t="str">
        <x:v>C5</x:v>
      </x:c>
      <x:c r="B11" s="9" t="str">
        <x:v>CL10A105KB8NNNC</x:v>
      </x:c>
      <x:c r="C11" s="9" t="str">
        <x:v>C15849</x:v>
      </x:c>
      <x:c r="D11" s="9" t="str">
        <x:v>顶面</x:v>
      </x:c>
      <x:c r="E11" s="9" t="str">
        <x:v>1=MCU_EN; 2=GND</x:v>
      </x:c>
      <x:c r="F11" s="9" t="str">
        <x:v>电容1uF，额定耐压50V；逐脚网络和封装已比对。MLCC直流偏压后的有效容量及样机纹波仍需验证。</x:v>
      </x:c>
      <x:c r="G11" s="9" t="str">
        <x:v>设计核查完成；样机验证</x:v>
      </x:c>
      <x:c r="H11" s="9" t="str">
        <x:v>https://item.szlcsc.com/datasheet/CL10A105KB8NNNC/16531.html</x:v>
      </x:c>
    </x:row>
    <x:row r="12" ht="88" customHeight="1">
      <x:c r="A12" s="10" t="str">
        <x:v>C6</x:v>
      </x:c>
      <x:c r="B12" s="10" t="str">
        <x:v>CC0603KRX7R9BB104</x:v>
      </x:c>
      <x:c r="C12" s="10" t="str">
        <x:v>C14663</x:v>
      </x:c>
      <x:c r="D12" s="10" t="str">
        <x:v>顶面</x:v>
      </x:c>
      <x:c r="E12" s="10" t="str">
        <x:v>1=KEY_N; 2=GND</x:v>
      </x:c>
      <x:c r="F12" s="10" t="str">
        <x:v>电容100nF，额定耐压50V；逐脚网络和封装已比对。MLCC直流偏压后的有效容量及样机纹波仍需验证。</x:v>
      </x:c>
      <x:c r="G12" s="10" t="str">
        <x:v>设计核查完成；样机验证</x:v>
      </x:c>
      <x:c r="H12" s="10" t="str">
        <x:v>https://item.szlcsc.com/datasheet/CC0603KRX7R9BB104/15331.html</x:v>
      </x:c>
    </x:row>
    <x:row r="13" ht="88" customHeight="1">
      <x:c r="A13" s="9" t="str">
        <x:v>C7</x:v>
      </x:c>
      <x:c r="B13" s="9" t="str">
        <x:v>CC0603KRX7R9BB104</x:v>
      </x:c>
      <x:c r="C13" s="9" t="str">
        <x:v>C14663</x:v>
      </x:c>
      <x:c r="D13" s="9" t="str">
        <x:v>底面</x:v>
      </x:c>
      <x:c r="E13" s="9" t="str">
        <x:v>1=+3V3; 2=GND</x:v>
      </x:c>
      <x:c r="F13" s="9" t="str">
        <x:v>电容100nF，额定耐压50V；逐脚网络和封装已比对。MLCC直流偏压后的有效容量及样机纹波仍需验证。</x:v>
      </x:c>
      <x:c r="G13" s="9" t="str">
        <x:v>设计核查完成；样机验证</x:v>
      </x:c>
      <x:c r="H13" s="9" t="str">
        <x:v>https://item.szlcsc.com/datasheet/CC0603KRX7R9BB104/15331.html</x:v>
      </x:c>
    </x:row>
    <x:row r="14" ht="88" customHeight="1">
      <x:c r="A14" s="10" t="str">
        <x:v>C8</x:v>
      </x:c>
      <x:c r="B14" s="10" t="str">
        <x:v>CC0603KRX7R9BB104</x:v>
      </x:c>
      <x:c r="C14" s="10" t="str">
        <x:v>C14663</x:v>
      </x:c>
      <x:c r="D14" s="10" t="str">
        <x:v>底面</x:v>
      </x:c>
      <x:c r="E14" s="10" t="str">
        <x:v>1=+3V3; 2=GND</x:v>
      </x:c>
      <x:c r="F14" s="10" t="str">
        <x:v>电容100nF，额定耐压50V；逐脚网络和封装已比对。MLCC直流偏压后的有效容量及样机纹波仍需验证。</x:v>
      </x:c>
      <x:c r="G14" s="10" t="str">
        <x:v>设计核查完成；样机验证</x:v>
      </x:c>
      <x:c r="H14" s="10" t="str">
        <x:v>https://item.szlcsc.com/datasheet/CC0603KRX7R9BB104/15331.html</x:v>
      </x:c>
    </x:row>
    <x:row r="15" ht="88" customHeight="1">
      <x:c r="A15" s="9" t="str">
        <x:v>C9</x:v>
      </x:c>
      <x:c r="B15" s="9" t="str">
        <x:v>CL10A105KB8NNNC</x:v>
      </x:c>
      <x:c r="C15" s="9" t="str">
        <x:v>C15849</x:v>
      </x:c>
      <x:c r="D15" s="9" t="str">
        <x:v>底面</x:v>
      </x:c>
      <x:c r="E15" s="9" t="str">
        <x:v>1=+3V3; 2=GND</x:v>
      </x:c>
      <x:c r="F15" s="9" t="str">
        <x:v>电容1uF，额定耐压50V；逐脚网络和封装已比对。MLCC直流偏压后的有效容量及样机纹波仍需验证。</x:v>
      </x:c>
      <x:c r="G15" s="9" t="str">
        <x:v>设计核查完成；样机验证</x:v>
      </x:c>
      <x:c r="H15" s="9" t="str">
        <x:v>https://item.szlcsc.com/datasheet/CL10A105KB8NNNC/16531.html</x:v>
      </x:c>
    </x:row>
    <x:row r="16" ht="88" customHeight="1">
      <x:c r="A16" s="10" t="str">
        <x:v>C11</x:v>
      </x:c>
      <x:c r="B16" s="10" t="str">
        <x:v>CC0603KRX7R9BB104</x:v>
      </x:c>
      <x:c r="C16" s="10" t="str">
        <x:v>C14663</x:v>
      </x:c>
      <x:c r="D16" s="10" t="str">
        <x:v>底面</x:v>
      </x:c>
      <x:c r="E16" s="10" t="str">
        <x:v>1=+3V3; 2=GND</x:v>
      </x:c>
      <x:c r="F16" s="10" t="str">
        <x:v>电容100nF，额定耐压50V；逐脚网络和封装已比对。MLCC直流偏压后的有效容量及样机纹波仍需验证。</x:v>
      </x:c>
      <x:c r="G16" s="10" t="str">
        <x:v>设计核查完成；样机验证</x:v>
      </x:c>
      <x:c r="H16" s="10" t="str">
        <x:v>https://item.szlcsc.com/datasheet/CC0603KRX7R9BB104/15331.html</x:v>
      </x:c>
    </x:row>
    <x:row r="17" ht="88" customHeight="1">
      <x:c r="A17" s="9" t="str">
        <x:v>C12</x:v>
      </x:c>
      <x:c r="B17" s="9" t="str">
        <x:v>CL10A105KB8NNNC</x:v>
      </x:c>
      <x:c r="C17" s="9" t="str">
        <x:v>C15849</x:v>
      </x:c>
      <x:c r="D17" s="9" t="str">
        <x:v>底面</x:v>
      </x:c>
      <x:c r="E17" s="9" t="str">
        <x:v>1=+3V3; 2=GND</x:v>
      </x:c>
      <x:c r="F17" s="9" t="str">
        <x:v>电容1uF，额定耐压50V；逐脚网络和封装已比对。MLCC直流偏压后的有效容量及样机纹波仍需验证。</x:v>
      </x:c>
      <x:c r="G17" s="9" t="str">
        <x:v>设计核查完成；样机验证</x:v>
      </x:c>
      <x:c r="H17" s="9" t="str">
        <x:v>https://item.szlcsc.com/datasheet/CL10A105KB8NNNC/16531.html</x:v>
      </x:c>
    </x:row>
    <x:row r="18" ht="88" customHeight="1">
      <x:c r="A18" s="10" t="str">
        <x:v>C13</x:v>
      </x:c>
      <x:c r="B18" s="10" t="str">
        <x:v>CC0603KRX7R9BB104</x:v>
      </x:c>
      <x:c r="C18" s="10" t="str">
        <x:v>C14663</x:v>
      </x:c>
      <x:c r="D18" s="10" t="str">
        <x:v>底面</x:v>
      </x:c>
      <x:c r="E18" s="10" t="str">
        <x:v>1=+5V_SYS; 2=GND</x:v>
      </x:c>
      <x:c r="F18" s="10" t="str">
        <x:v>电容100nF，额定耐压50V；逐脚网络和封装已比对。MLCC直流偏压后的有效容量及样机纹波仍需验证。</x:v>
      </x:c>
      <x:c r="G18" s="10" t="str">
        <x:v>设计核查完成；样机验证</x:v>
      </x:c>
      <x:c r="H18" s="10" t="str">
        <x:v>https://item.szlcsc.com/datasheet/CC0603KRX7R9BB104/15331.html</x:v>
      </x:c>
    </x:row>
    <x:row r="19" ht="88" customHeight="1">
      <x:c r="A19" s="9" t="str">
        <x:v>C14</x:v>
      </x:c>
      <x:c r="B19" s="9" t="str">
        <x:v>CL10A106KP8NNNC</x:v>
      </x:c>
      <x:c r="C19" s="9" t="str">
        <x:v>C19702</x:v>
      </x:c>
      <x:c r="D19" s="9" t="str">
        <x:v>底面</x:v>
      </x:c>
      <x:c r="E19" s="9" t="str">
        <x:v>1=+5V_SYS; 2=GND</x:v>
      </x:c>
      <x:c r="F19" s="9" t="str">
        <x:v>电容10uF，额定耐压10V；逐脚网络和封装已比对。MLCC直流偏压后的有效容量及样机纹波仍需验证。</x:v>
      </x:c>
      <x:c r="G19" s="9" t="str">
        <x:v>设计核查完成；样机验证</x:v>
      </x:c>
      <x:c r="H19" s="9" t="str">
        <x:v>https://item.szlcsc.com/datasheet/CL10A106KP8NNNC/20411.html</x:v>
      </x:c>
    </x:row>
    <x:row r="20" ht="88" customHeight="1">
      <x:c r="A20" s="10" t="str">
        <x:v>C15</x:v>
      </x:c>
      <x:c r="B20" s="10" t="str">
        <x:v>CC0603KRX7R9BB104</x:v>
      </x:c>
      <x:c r="C20" s="10" t="str">
        <x:v>C14663</x:v>
      </x:c>
      <x:c r="D20" s="10" t="str">
        <x:v>顶面</x:v>
      </x:c>
      <x:c r="E20" s="10" t="str">
        <x:v>1=+3V3; 2=GND</x:v>
      </x:c>
      <x:c r="F20" s="10" t="str">
        <x:v>电容100nF，额定耐压50V；逐脚网络和封装已比对。MLCC直流偏压后的有效容量及样机纹波仍需验证。</x:v>
      </x:c>
      <x:c r="G20" s="10" t="str">
        <x:v>设计核查完成；样机验证</x:v>
      </x:c>
      <x:c r="H20" s="10" t="str">
        <x:v>https://item.szlcsc.com/datasheet/CC0603KRX7R9BB104/15331.html</x:v>
      </x:c>
    </x:row>
    <x:row r="21" ht="88" customHeight="1">
      <x:c r="A21" s="9" t="str">
        <x:v>C16</x:v>
      </x:c>
      <x:c r="B21" s="9" t="str">
        <x:v>CL10A105KB8NNNC</x:v>
      </x:c>
      <x:c r="C21" s="9" t="str">
        <x:v>C15849</x:v>
      </x:c>
      <x:c r="D21" s="9" t="str">
        <x:v>顶面</x:v>
      </x:c>
      <x:c r="E21" s="9" t="str">
        <x:v>1=+3V3; 2=GND</x:v>
      </x:c>
      <x:c r="F21" s="9" t="str">
        <x:v>电容1uF，额定耐压50V；逐脚网络和封装已比对。MLCC直流偏压后的有效容量及样机纹波仍需验证。</x:v>
      </x:c>
      <x:c r="G21" s="9" t="str">
        <x:v>设计核查完成；样机验证</x:v>
      </x:c>
      <x:c r="H21" s="9" t="str">
        <x:v>https://item.szlcsc.com/datasheet/CL10A105KB8NNNC/16531.html</x:v>
      </x:c>
    </x:row>
    <x:row r="22" ht="88" customHeight="1">
      <x:c r="A22" s="10" t="str">
        <x:v>C23</x:v>
      </x:c>
      <x:c r="B22" s="10" t="str">
        <x:v>CC0603KRX7R9BB104</x:v>
      </x:c>
      <x:c r="C22" s="10" t="str">
        <x:v>C14663</x:v>
      </x:c>
      <x:c r="D22" s="10" t="str">
        <x:v>底面</x:v>
      </x:c>
      <x:c r="E22" s="10" t="str">
        <x:v>1=+3V3; 2=GND</x:v>
      </x:c>
      <x:c r="F22" s="10" t="str">
        <x:v>电容100nF，额定耐压50V；逐脚网络和封装已比对。MLCC直流偏压后的有效容量及样机纹波仍需验证。</x:v>
      </x:c>
      <x:c r="G22" s="10" t="str">
        <x:v>设计核查完成；样机验证</x:v>
      </x:c>
      <x:c r="H22" s="10" t="str">
        <x:v>https://item.szlcsc.com/datasheet/CC0603KRX7R9BB104/15331.html</x:v>
      </x:c>
    </x:row>
    <x:row r="23" ht="88" customHeight="1">
      <x:c r="A23" s="9" t="str">
        <x:v>C29</x:v>
      </x:c>
      <x:c r="B23" s="9" t="str">
        <x:v>CC0603KRX7R9BB104</x:v>
      </x:c>
      <x:c r="C23" s="9" t="str">
        <x:v>C14663</x:v>
      </x:c>
      <x:c r="D23" s="9" t="str">
        <x:v>顶面</x:v>
      </x:c>
      <x:c r="E23" s="9" t="str">
        <x:v>1=LCD_VCC; 2=GND</x:v>
      </x:c>
      <x:c r="F23" s="9" t="str">
        <x:v>电容100nF，额定耐压50V；逐脚网络和封装已比对。MLCC直流偏压后的有效容量及样机纹波仍需验证。</x:v>
      </x:c>
      <x:c r="G23" s="9" t="str">
        <x:v>设计核查完成；样机验证</x:v>
      </x:c>
      <x:c r="H23" s="9" t="str">
        <x:v>https://item.szlcsc.com/datasheet/CC0603KRX7R9BB104/15331.html</x:v>
      </x:c>
    </x:row>
    <x:row r="24" ht="88" customHeight="1">
      <x:c r="A24" s="10" t="str">
        <x:v>C30</x:v>
      </x:c>
      <x:c r="B24" s="10" t="str">
        <x:v>CL10A106KP8NNNC</x:v>
      </x:c>
      <x:c r="C24" s="10" t="str">
        <x:v>C19702</x:v>
      </x:c>
      <x:c r="D24" s="10" t="str">
        <x:v>顶面</x:v>
      </x:c>
      <x:c r="E24" s="10" t="str">
        <x:v>1=LCD_VCC; 2=GND</x:v>
      </x:c>
      <x:c r="F24" s="10" t="str">
        <x:v>电容10uF，额定耐压10V；逐脚网络和封装已比对。MLCC直流偏压后的有效容量及样机纹波仍需验证。</x:v>
      </x:c>
      <x:c r="G24" s="10" t="str">
        <x:v>设计核查完成；样机验证</x:v>
      </x:c>
      <x:c r="H24" s="10" t="str">
        <x:v>https://item.szlcsc.com/datasheet/CL10A106KP8NNNC/20411.html</x:v>
      </x:c>
    </x:row>
    <x:row r="25" ht="88" customHeight="1">
      <x:c r="A25" s="9" t="str">
        <x:v>C101</x:v>
      </x:c>
      <x:c r="B25" s="9" t="str">
        <x:v>CL10A105KB8NNNC</x:v>
      </x:c>
      <x:c r="C25" s="9" t="str">
        <x:v>C15849</x:v>
      </x:c>
      <x:c r="D25" s="9" t="str">
        <x:v>顶面</x:v>
      </x:c>
      <x:c r="E25" s="9" t="str">
        <x:v>1=USB_5V_FUSED; 2=GND</x:v>
      </x:c>
      <x:c r="F25" s="9" t="str">
        <x:v>电容1uF，额定耐压50V；逐脚网络和封装已比对。MLCC直流偏压后的有效容量及样机纹波仍需验证。</x:v>
      </x:c>
      <x:c r="G25" s="9" t="str">
        <x:v>设计核查完成；样机验证</x:v>
      </x:c>
      <x:c r="H25" s="9" t="str">
        <x:v>https://item.szlcsc.com/datasheet/CL10A105KB8NNNC/16531.html</x:v>
      </x:c>
    </x:row>
    <x:row r="26" ht="88" customHeight="1">
      <x:c r="A26" s="10" t="str">
        <x:v>C102</x:v>
      </x:c>
      <x:c r="B26" s="10" t="str">
        <x:v>CC0603KRX7R9BB104</x:v>
      </x:c>
      <x:c r="C26" s="10" t="str">
        <x:v>C14663</x:v>
      </x:c>
      <x:c r="D26" s="10" t="str">
        <x:v>顶面</x:v>
      </x:c>
      <x:c r="E26" s="10" t="str">
        <x:v>1=USB_5V_FUSED; 2=GND</x:v>
      </x:c>
      <x:c r="F26" s="10" t="str">
        <x:v>电容100nF，额定耐压50V；逐脚网络和封装已比对。MLCC直流偏压后的有效容量及样机纹波仍需验证。</x:v>
      </x:c>
      <x:c r="G26" s="10" t="str">
        <x:v>设计核查完成；样机验证</x:v>
      </x:c>
      <x:c r="H26" s="10" t="str">
        <x:v>https://item.szlcsc.com/datasheet/CC0603KRX7R9BB104/15331.html</x:v>
      </x:c>
    </x:row>
    <x:row r="27" ht="88" customHeight="1">
      <x:c r="A27" s="9" t="str">
        <x:v>C103</x:v>
      </x:c>
      <x:c r="B27" s="9" t="str">
        <x:v>CC0805MKX5R6BB226</x:v>
      </x:c>
      <x:c r="C27" s="9" t="str">
        <x:v>C109314</x:v>
      </x:c>
      <x:c r="D27" s="9" t="str">
        <x:v>底面</x:v>
      </x:c>
      <x:c r="E27" s="9" t="str">
        <x:v>1=VBAT_PROT; 2=GND</x:v>
      </x:c>
      <x:c r="F27" s="9" t="str">
        <x:v>电容22uF，额定耐压10V；逐脚网络和封装已比对。MLCC直流偏压后的有效容量及样机纹波仍需验证。</x:v>
      </x:c>
      <x:c r="G27" s="9" t="str">
        <x:v>设计核查完成；样机验证</x:v>
      </x:c>
      <x:c r="H27" s="9" t="str">
        <x:v>https://atta.szlcsc.com/upload/public/pdf/source/20181008/C309506_01C87B2C86DBD1236B532041A9B60642.pdf</x:v>
      </x:c>
    </x:row>
    <x:row r="28" ht="88" customHeight="1">
      <x:c r="A28" s="10" t="str">
        <x:v>C104</x:v>
      </x:c>
      <x:c r="B28" s="10" t="str">
        <x:v>CC0603KRX7R9BB104</x:v>
      </x:c>
      <x:c r="C28" s="10" t="str">
        <x:v>C14663</x:v>
      </x:c>
      <x:c r="D28" s="10" t="str">
        <x:v>底面</x:v>
      </x:c>
      <x:c r="E28" s="10" t="str">
        <x:v>1=VBAT_PROT; 2=GND</x:v>
      </x:c>
      <x:c r="F28" s="10" t="str">
        <x:v>电容100nF，额定耐压50V；逐脚网络和封装已比对。MLCC直流偏压后的有效容量及样机纹波仍需验证。</x:v>
      </x:c>
      <x:c r="G28" s="10" t="str">
        <x:v>设计核查完成；样机验证</x:v>
      </x:c>
      <x:c r="H28" s="10" t="str">
        <x:v>https://item.szlcsc.com/datasheet/CC0603KRX7R9BB104/15331.html</x:v>
      </x:c>
    </x:row>
    <x:row r="29" ht="88" customHeight="1">
      <x:c r="A29" s="9" t="str">
        <x:v>C105</x:v>
      </x:c>
      <x:c r="B29" s="9" t="str">
        <x:v>CC0805MKX5R6BB226</x:v>
      </x:c>
      <x:c r="C29" s="9" t="str">
        <x:v>C109314</x:v>
      </x:c>
      <x:c r="D29" s="9" t="str">
        <x:v>底面</x:v>
      </x:c>
      <x:c r="E29" s="9" t="str">
        <x:v>1=VSYS_RAW; 2=GND</x:v>
      </x:c>
      <x:c r="F29" s="9" t="str">
        <x:v>电容22uF，额定耐压10V；逐脚网络和封装已比对。MLCC直流偏压后的有效容量及样机纹波仍需验证。</x:v>
      </x:c>
      <x:c r="G29" s="9" t="str">
        <x:v>设计核查完成；样机验证</x:v>
      </x:c>
      <x:c r="H29" s="9" t="str">
        <x:v>https://atta.szlcsc.com/upload/public/pdf/source/20181008/C309506_01C87B2C86DBD1236B532041A9B60642.pdf</x:v>
      </x:c>
    </x:row>
    <x:row r="30" ht="88" customHeight="1">
      <x:c r="A30" s="10" t="str">
        <x:v>C106</x:v>
      </x:c>
      <x:c r="B30" s="10" t="str">
        <x:v>CC0603KRX7R9BB104</x:v>
      </x:c>
      <x:c r="C30" s="10" t="str">
        <x:v>C14663</x:v>
      </x:c>
      <x:c r="D30" s="10" t="str">
        <x:v>底面</x:v>
      </x:c>
      <x:c r="E30" s="10" t="str">
        <x:v>1=VSYS_RAW; 2=GND</x:v>
      </x:c>
      <x:c r="F30" s="10" t="str">
        <x:v>电容100nF，额定耐压50V；逐脚网络和封装已比对。MLCC直流偏压后的有效容量及样机纹波仍需验证。</x:v>
      </x:c>
      <x:c r="G30" s="10" t="str">
        <x:v>设计核查完成；样机验证</x:v>
      </x:c>
      <x:c r="H30" s="10" t="str">
        <x:v>https://item.szlcsc.com/datasheet/CC0603KRX7R9BB104/15331.html</x:v>
      </x:c>
    </x:row>
    <x:row r="31" ht="88" customHeight="1">
      <x:c r="A31" s="9" t="str">
        <x:v>C107</x:v>
      </x:c>
      <x:c r="B31" s="9" t="str">
        <x:v>TCC0805X7R106K100FT</x:v>
      </x:c>
      <x:c r="C31" s="9" t="str">
        <x:v>C380346</x:v>
      </x:c>
      <x:c r="D31" s="9" t="str">
        <x:v>底面</x:v>
      </x:c>
      <x:c r="E31" s="9" t="str">
        <x:v>1=MAIN_IN; 2=GND</x:v>
      </x:c>
      <x:c r="F31" s="9" t="str">
        <x:v>电容10uF，额定耐压10V；逐脚网络和封装已比对。MLCC直流偏压后的有效容量及样机纹波仍需验证。</x:v>
      </x:c>
      <x:c r="G31" s="9" t="str">
        <x:v>设计核查完成；样机验证</x:v>
      </x:c>
      <x:c r="H31" s="9" t="str">
        <x:v>https://item.szlcsc.com/datasheet/TCC0805X7R106K100FT/352751.html</x:v>
      </x:c>
    </x:row>
    <x:row r="32" ht="88" customHeight="1">
      <x:c r="A32" s="10" t="str">
        <x:v>C108</x:v>
      </x:c>
      <x:c r="B32" s="10" t="str">
        <x:v>CC0603KRX7R9BB104</x:v>
      </x:c>
      <x:c r="C32" s="10" t="str">
        <x:v>C14663</x:v>
      </x:c>
      <x:c r="D32" s="10" t="str">
        <x:v>底面</x:v>
      </x:c>
      <x:c r="E32" s="10" t="str">
        <x:v>1=MAIN_IN; 2=GND</x:v>
      </x:c>
      <x:c r="F32" s="10" t="str">
        <x:v>电容100nF，额定耐压50V；逐脚网络和封装已比对。MLCC直流偏压后的有效容量及样机纹波仍需验证。</x:v>
      </x:c>
      <x:c r="G32" s="10" t="str">
        <x:v>设计核查完成；样机验证</x:v>
      </x:c>
      <x:c r="H32" s="10" t="str">
        <x:v>https://item.szlcsc.com/datasheet/CC0603KRX7R9BB104/15331.html</x:v>
      </x:c>
    </x:row>
    <x:row r="33" ht="88" customHeight="1">
      <x:c r="A33" s="9" t="str">
        <x:v>C109</x:v>
      </x:c>
      <x:c r="B33" s="9" t="str">
        <x:v>CC0805MKX5R6BB226</x:v>
      </x:c>
      <x:c r="C33" s="9" t="str">
        <x:v>C109314</x:v>
      </x:c>
      <x:c r="D33" s="9" t="str">
        <x:v>底面</x:v>
      </x:c>
      <x:c r="E33" s="9" t="str">
        <x:v>1=+3V3; 2=GND</x:v>
      </x:c>
      <x:c r="F33" s="9" t="str">
        <x:v>电容22uF，额定耐压10V；逐脚网络和封装已比对。MLCC直流偏压后的有效容量及样机纹波仍需验证。</x:v>
      </x:c>
      <x:c r="G33" s="9" t="str">
        <x:v>设计核查完成；样机验证</x:v>
      </x:c>
      <x:c r="H33" s="9" t="str">
        <x:v>https://atta.szlcsc.com/upload/public/pdf/source/20181008/C309506_01C87B2C86DBD1236B532041A9B60642.pdf</x:v>
      </x:c>
    </x:row>
    <x:row r="34" ht="88" customHeight="1">
      <x:c r="A34" s="10" t="str">
        <x:v>C111</x:v>
      </x:c>
      <x:c r="B34" s="10" t="str">
        <x:v>TCC0805X7R106K100FT</x:v>
      </x:c>
      <x:c r="C34" s="10" t="str">
        <x:v>C380346</x:v>
      </x:c>
      <x:c r="D34" s="10" t="str">
        <x:v>底面</x:v>
      </x:c>
      <x:c r="E34" s="10" t="str">
        <x:v>1=MAIN_IN; 2=GND</x:v>
      </x:c>
      <x:c r="F34" s="10" t="str">
        <x:v>电容10uF，额定耐压10V；逐脚网络和封装已比对。MLCC直流偏压后的有效容量及样机纹波仍需验证。</x:v>
      </x:c>
      <x:c r="G34" s="10" t="str">
        <x:v>设计核查完成；样机验证</x:v>
      </x:c>
      <x:c r="H34" s="10" t="str">
        <x:v>https://item.szlcsc.com/datasheet/TCC0805X7R106K100FT/352751.html</x:v>
      </x:c>
    </x:row>
    <x:row r="35" ht="88" customHeight="1">
      <x:c r="A35" s="9" t="str">
        <x:v>C112</x:v>
      </x:c>
      <x:c r="B35" s="9" t="str">
        <x:v>CC0603KRX7R9BB104</x:v>
      </x:c>
      <x:c r="C35" s="9" t="str">
        <x:v>C14663</x:v>
      </x:c>
      <x:c r="D35" s="9" t="str">
        <x:v>底面</x:v>
      </x:c>
      <x:c r="E35" s="9" t="str">
        <x:v>1=MAIN_IN; 2=GND</x:v>
      </x:c>
      <x:c r="F35" s="9" t="str">
        <x:v>电容100nF，额定耐压50V；逐脚网络和封装已比对。MLCC直流偏压后的有效容量及样机纹波仍需验证。</x:v>
      </x:c>
      <x:c r="G35" s="9" t="str">
        <x:v>设计核查完成；样机验证</x:v>
      </x:c>
      <x:c r="H35" s="9" t="str">
        <x:v>https://item.szlcsc.com/datasheet/CC0603KRX7R9BB104/15331.html</x:v>
      </x:c>
    </x:row>
    <x:row r="36" ht="88" customHeight="1">
      <x:c r="A36" s="10" t="str">
        <x:v>C113</x:v>
      </x:c>
      <x:c r="B36" s="10" t="str">
        <x:v>CC0805MKX5R6BB226</x:v>
      </x:c>
      <x:c r="C36" s="10" t="str">
        <x:v>C109314</x:v>
      </x:c>
      <x:c r="D36" s="10" t="str">
        <x:v>底面</x:v>
      </x:c>
      <x:c r="E36" s="10" t="str">
        <x:v>1=BOOST_5V; 2=GND</x:v>
      </x:c>
      <x:c r="F36" s="10" t="str">
        <x:v>电容22uF，额定耐压10V；逐脚网络和封装已比对。MLCC直流偏压后的有效容量及样机纹波仍需验证。</x:v>
      </x:c>
      <x:c r="G36" s="10" t="str">
        <x:v>设计核查完成；样机验证</x:v>
      </x:c>
      <x:c r="H36" s="10" t="str">
        <x:v>https://atta.szlcsc.com/upload/public/pdf/source/20181008/C309506_01C87B2C86DBD1236B532041A9B60642.pdf</x:v>
      </x:c>
    </x:row>
    <x:row r="37" ht="88" customHeight="1">
      <x:c r="A37" s="9" t="str">
        <x:v>C114</x:v>
      </x:c>
      <x:c r="B37" s="9" t="str">
        <x:v>CC0603JRNPO9BN221</x:v>
      </x:c>
      <x:c r="C37" s="9" t="str">
        <x:v>C106210</x:v>
      </x:c>
      <x:c r="D37" s="9" t="str">
        <x:v>底面</x:v>
      </x:c>
      <x:c r="E37" s="9" t="str">
        <x:v>1=BOOST_5V; 2=BOOST_FB</x:v>
      </x:c>
      <x:c r="F37" s="9" t="str">
        <x:v>220pF C0G/NP0前馈电容预留，默认DNP不装、不采购。仅在实测总有效输出电容大于40µF且验证环路稳定性后选装；与732kΩ反馈电阻形成约988Hz零点。</x:v>
      </x:c>
      <x:c r="G37" s="9" t="str">
        <x:v>DNP：默认不装、不采购</x:v>
      </x:c>
      <x:c r="H37" s="9" t="str">
        <x:v>https://item.szlcsc.com/datasheet/CC0603JRNPO9BN221/107425.html</x:v>
      </x:c>
    </x:row>
    <x:row r="38" ht="88" customHeight="1">
      <x:c r="A38" s="10" t="str">
        <x:v>C115</x:v>
      </x:c>
      <x:c r="B38" s="10" t="str">
        <x:v>CC0603KRX7R9BB104</x:v>
      </x:c>
      <x:c r="C38" s="10" t="str">
        <x:v>C14663</x:v>
      </x:c>
      <x:c r="D38" s="10" t="str">
        <x:v>底面</x:v>
      </x:c>
      <x:c r="E38" s="10" t="str">
        <x:v>1=BAT_ADC; 2=GND</x:v>
      </x:c>
      <x:c r="F38" s="10" t="str">
        <x:v>电容100nF，额定耐压50V；逐脚网络和封装已比对。MLCC直流偏压后的有效容量及样机纹波仍需验证。</x:v>
      </x:c>
      <x:c r="G38" s="10" t="str">
        <x:v>设计核查完成；样机验证</x:v>
      </x:c>
      <x:c r="H38" s="10" t="str">
        <x:v>https://item.szlcsc.com/datasheet/CC0603KRX7R9BB104/15331.html</x:v>
      </x:c>
    </x:row>
    <x:row r="39" ht="88" customHeight="1">
      <x:c r="A39" s="9" t="str">
        <x:v>C119</x:v>
      </x:c>
      <x:c r="B39" s="9" t="str">
        <x:v>TCC0805X7R106K100FT</x:v>
      </x:c>
      <x:c r="C39" s="9" t="str">
        <x:v>C380346</x:v>
      </x:c>
      <x:c r="D39" s="9" t="str">
        <x:v>底面</x:v>
      </x:c>
      <x:c r="E39" s="9" t="str">
        <x:v>1=+3V3; 2=GND</x:v>
      </x:c>
      <x:c r="F39" s="9" t="str">
        <x:v>电容10uF，额定耐压10V；逐脚网络和封装已比对。MLCC直流偏压后的有效容量及样机纹波仍需验证。</x:v>
      </x:c>
      <x:c r="G39" s="9" t="str">
        <x:v>设计核查完成；样机验证</x:v>
      </x:c>
      <x:c r="H39" s="9" t="str">
        <x:v>https://item.szlcsc.com/datasheet/TCC0805X7R106K100FT/352751.html</x:v>
      </x:c>
    </x:row>
    <x:row r="40" ht="88" customHeight="1">
      <x:c r="A40" s="10" t="str">
        <x:v>C120</x:v>
      </x:c>
      <x:c r="B40" s="10" t="str">
        <x:v>CL10A105KB8NNNC</x:v>
      </x:c>
      <x:c r="C40" s="10" t="str">
        <x:v>C15849</x:v>
      </x:c>
      <x:c r="D40" s="10" t="str">
        <x:v>底面</x:v>
      </x:c>
      <x:c r="E40" s="10" t="str">
        <x:v>1=HAPTIC_REG; 2=GND</x:v>
      </x:c>
      <x:c r="F40" s="10" t="str">
        <x:v>电容1uF，额定耐压50V；逐脚网络和封装已比对。MLCC直流偏压后的有效容量及样机纹波仍需验证。</x:v>
      </x:c>
      <x:c r="G40" s="10" t="str">
        <x:v>设计核查完成；样机验证</x:v>
      </x:c>
      <x:c r="H40" s="10" t="str">
        <x:v>https://item.szlcsc.com/datasheet/CL10A105KB8NNNC/16531.html</x:v>
      </x:c>
    </x:row>
    <x:row r="41" ht="88" customHeight="1">
      <x:c r="A41" s="9" t="str">
        <x:v>C121</x:v>
      </x:c>
      <x:c r="B41" s="9" t="str">
        <x:v>CL10A105KB8NNNC</x:v>
      </x:c>
      <x:c r="C41" s="9" t="str">
        <x:v>C15849</x:v>
      </x:c>
      <x:c r="D41" s="9" t="str">
        <x:v>底面</x:v>
      </x:c>
      <x:c r="E41" s="9" t="str">
        <x:v>1=+3V3; 2=GND</x:v>
      </x:c>
      <x:c r="F41" s="9" t="str">
        <x:v>电容1uF，额定耐压50V；逐脚网络和封装已比对。MLCC直流偏压后的有效容量及样机纹波仍需验证。</x:v>
      </x:c>
      <x:c r="G41" s="9" t="str">
        <x:v>设计核查完成；样机验证</x:v>
      </x:c>
      <x:c r="H41" s="9" t="str">
        <x:v>https://item.szlcsc.com/datasheet/CL10A105KB8NNNC/16531.html</x:v>
      </x:c>
    </x:row>
    <x:row r="42" ht="88" customHeight="1">
      <x:c r="A42" s="10" t="str">
        <x:v>C122</x:v>
      </x:c>
      <x:c r="B42" s="10" t="str">
        <x:v>CL10A105KB8NNNC</x:v>
      </x:c>
      <x:c r="C42" s="10" t="str">
        <x:v>C15849</x:v>
      </x:c>
      <x:c r="D42" s="10" t="str">
        <x:v>顶面</x:v>
      </x:c>
      <x:c r="E42" s="10" t="str">
        <x:v>1=USB_CC_3V3; 2=GND</x:v>
      </x:c>
      <x:c r="F42" s="10" t="str">
        <x:v>电容1uF，额定耐压50V；逐脚网络和封装已比对。MLCC直流偏压后的有效容量及样机纹波仍需验证。</x:v>
      </x:c>
      <x:c r="G42" s="10" t="str">
        <x:v>设计核查完成；样机验证</x:v>
      </x:c>
      <x:c r="H42" s="10" t="str">
        <x:v>https://item.szlcsc.com/datasheet/CL10A105KB8NNNC/16531.html</x:v>
      </x:c>
    </x:row>
    <x:row r="43" ht="88" customHeight="1">
      <x:c r="A43" s="9" t="str">
        <x:v>C123</x:v>
      </x:c>
      <x:c r="B43" s="9" t="str">
        <x:v>CC0603KRX7R9BB104</x:v>
      </x:c>
      <x:c r="C43" s="9" t="str">
        <x:v>C14663</x:v>
      </x:c>
      <x:c r="D43" s="9" t="str">
        <x:v>顶面</x:v>
      </x:c>
      <x:c r="E43" s="9" t="str">
        <x:v>1=USB_CC_3V3; 2=GND</x:v>
      </x:c>
      <x:c r="F43" s="9" t="str">
        <x:v>电容100nF，额定耐压50V；逐脚网络和封装已比对。MLCC直流偏压后的有效容量及样机纹波仍需验证。</x:v>
      </x:c>
      <x:c r="G43" s="9" t="str">
        <x:v>设计核查完成；样机验证</x:v>
      </x:c>
      <x:c r="H43" s="9" t="str">
        <x:v>https://item.szlcsc.com/datasheet/CC0603KRX7R9BB104/15331.html</x:v>
      </x:c>
    </x:row>
    <x:row r="44" ht="88" customHeight="1">
      <x:c r="A44" s="10" t="str">
        <x:v>C124</x:v>
      </x:c>
      <x:c r="B44" s="10" t="str">
        <x:v>CC0603KRX7R9BB104</x:v>
      </x:c>
      <x:c r="C44" s="10" t="str">
        <x:v>C14663</x:v>
      </x:c>
      <x:c r="D44" s="10" t="str">
        <x:v>顶面</x:v>
      </x:c>
      <x:c r="E44" s="10" t="str">
        <x:v>1=USB_CC_3V3; 2=GND</x:v>
      </x:c>
      <x:c r="F44" s="10" t="str">
        <x:v>电容100nF，额定耐压50V；逐脚网络和封装已比对。MLCC直流偏压后的有效容量及样机纹波仍需验证。</x:v>
      </x:c>
      <x:c r="G44" s="10" t="str">
        <x:v>设计核查完成；样机验证</x:v>
      </x:c>
      <x:c r="H44" s="10" t="str">
        <x:v>https://item.szlcsc.com/datasheet/CC0603KRX7R9BB104/15331.html</x:v>
      </x:c>
    </x:row>
    <x:row r="45" ht="88" customHeight="1">
      <x:c r="A45" s="9" t="str">
        <x:v>C127</x:v>
      </x:c>
      <x:c r="B45" s="9" t="str">
        <x:v>CL10A105KB8NNNC</x:v>
      </x:c>
      <x:c r="C45" s="9" t="str">
        <x:v>C15849</x:v>
      </x:c>
      <x:c r="D45" s="9" t="str">
        <x:v>顶面</x:v>
      </x:c>
      <x:c r="E45" s="9" t="str">
        <x:v>1=USB_5V_FUSED; 2=GND</x:v>
      </x:c>
      <x:c r="F45" s="9" t="str">
        <x:v>电容1uF，额定耐压50V；逐脚网络和封装已比对。MLCC直流偏压后的有效容量及样机纹波仍需验证。</x:v>
      </x:c>
      <x:c r="G45" s="9" t="str">
        <x:v>设计核查完成；样机验证</x:v>
      </x:c>
      <x:c r="H45" s="9" t="str">
        <x:v>https://item.szlcsc.com/datasheet/CL10A105KB8NNNC/16531.html</x:v>
      </x:c>
    </x:row>
    <x:row r="46" ht="88" customHeight="1">
      <x:c r="A46" s="10" t="str">
        <x:v>C128</x:v>
      </x:c>
      <x:c r="B46" s="10" t="str">
        <x:v>CC0805MKX5R6BB226</x:v>
      </x:c>
      <x:c r="C46" s="10" t="str">
        <x:v>C109314</x:v>
      </x:c>
      <x:c r="D46" s="10" t="str">
        <x:v>底面</x:v>
      </x:c>
      <x:c r="E46" s="10" t="str">
        <x:v>1=+3V3; 2=GND</x:v>
      </x:c>
      <x:c r="F46" s="10" t="str">
        <x:v>电容22uF，额定耐压10V；逐脚网络和封装已比对。MLCC直流偏压后的有效容量及样机纹波仍需验证。</x:v>
      </x:c>
      <x:c r="G46" s="10" t="str">
        <x:v>设计核查完成；样机验证</x:v>
      </x:c>
      <x:c r="H46" s="10" t="str">
        <x:v>https://atta.szlcsc.com/upload/public/pdf/source/20181008/C309506_01C87B2C86DBD1236B532041A9B60642.pdf</x:v>
      </x:c>
    </x:row>
    <x:row r="47" ht="88" customHeight="1">
      <x:c r="A47" s="9" t="str">
        <x:v>C129</x:v>
      </x:c>
      <x:c r="B47" s="9" t="str">
        <x:v>TCC0805X7R106K100FT</x:v>
      </x:c>
      <x:c r="C47" s="9" t="str">
        <x:v>C380346</x:v>
      </x:c>
      <x:c r="D47" s="9" t="str">
        <x:v>底面</x:v>
      </x:c>
      <x:c r="E47" s="9" t="str">
        <x:v>1=MAIN_IN; 2=GND</x:v>
      </x:c>
      <x:c r="F47" s="9" t="str">
        <x:v>电容10uF，额定耐压10V；逐脚网络和封装已比对。MLCC直流偏压后的有效容量及样机纹波仍需验证。</x:v>
      </x:c>
      <x:c r="G47" s="9" t="str">
        <x:v>设计核查完成；样机验证</x:v>
      </x:c>
      <x:c r="H47" s="9" t="str">
        <x:v>https://item.szlcsc.com/datasheet/TCC0805X7R106K100FT/352751.html</x:v>
      </x:c>
    </x:row>
    <x:row r="48" ht="88" customHeight="1">
      <x:c r="A48" s="10" t="str">
        <x:v>F101</x:v>
      </x:c>
      <x:c r="B48" s="10" t="str">
        <x:v>BSMD1812-260-16V</x:v>
      </x:c>
      <x:c r="C48" s="10" t="str">
        <x:v>C883160</x:v>
      </x:c>
      <x:c r="D48" s="10" t="str">
        <x:v>顶面</x:v>
      </x:c>
      <x:c r="E48" s="10" t="str">
        <x:v>1=USB_VBUS; 2=USB_5V_FUSED</x:v>
      </x:c>
      <x:c r="F48" s="10" t="str">
        <x:v>1812自恢复保险，2.6A保持/16V；属于后备保护，实际USB输入电流由BQ24075限流控制。</x:v>
      </x:c>
      <x:c r="G48" s="10" t="str">
        <x:v>设计核查完成；样机验证</x:v>
      </x:c>
      <x:c r="H48" s="10" t="str">
        <x:v>https://item.szlcsc.com/datasheet/BSMD1812-260-16V/947835.html</x:v>
      </x:c>
    </x:row>
    <x:row r="49" ht="88" customHeight="1">
      <x:c r="A49" s="9" t="str">
        <x:v>FB202</x:v>
      </x:c>
      <x:c r="B49" s="9" t="str">
        <x:v>BLM18AG601SN1D</x:v>
      </x:c>
      <x:c r="C49" s="9" t="str">
        <x:v>C19330</x:v>
      </x:c>
      <x:c r="D49" s="9" t="str">
        <x:v>顶面</x:v>
      </x:c>
      <x:c r="E49" s="9" t="str">
        <x:v>1=+3V3; 2=LCD_VCC</x:v>
      </x:c>
      <x:c r="F49" s="9" t="str">
        <x:v>BLM18AG601：3.3V到LCD_VCC的电源磁珠；两颗屏幕去耦均已接到LCD_VCC。</x:v>
      </x:c>
      <x:c r="G49" s="9" t="str">
        <x:v>设计核查完成；样机验证</x:v>
      </x:c>
      <x:c r="H49" s="9" t="str">
        <x:v>https://item.szlcsc.com/datasheet/BLM18AG601SN1D/20038.html</x:v>
      </x:c>
    </x:row>
    <x:row r="50" ht="88" customHeight="1">
      <x:c r="A50" s="10" t="str">
        <x:v>J1</x:v>
      </x:c>
      <x:c r="B50" s="10" t="str">
        <x:v>SM06B-SRSS-TB(LF)(SN)</x:v>
      </x:c>
      <x:c r="C50" s="10" t="str">
        <x:v>C160405</x:v>
      </x:c>
      <x:c r="D50" s="10" t="str">
        <x:v>顶面</x:v>
      </x:c>
      <x:c r="E50" s="10" t="str">
        <x:v>1=+3V3; 2=UART_TX; 3=UART_RX; 4=MCU_EN; 5=BOOT_N; 6=GND; 7=NC; 8=NC</x:v>
      </x:c>
      <x:c r="F50" s="10" t="str">
        <x:v>接口逐针网络、引脚数和PCB焊盘已比对；配对线束须按引脚号制作，不能仅凭线色接线。</x:v>
      </x:c>
      <x:c r="G50" s="10" t="str">
        <x:v>设计核查完成；样机验证</x:v>
      </x:c>
      <x:c r="H50" s="10" t="str">
        <x:v>https://item.szlcsc.com/datasheet/SM06B-SRSS-TB(LF)(SN)/171785.html</x:v>
      </x:c>
    </x:row>
    <x:row r="51" ht="88" customHeight="1">
      <x:c r="A51" s="9" t="str">
        <x:v>J2</x:v>
      </x:c>
      <x:c r="B51" s="9" t="str">
        <x:v>SM07B-SRSS-TB(LF)(SN)</x:v>
      </x:c>
      <x:c r="C51" s="9" t="str">
        <x:v>C160406</x:v>
      </x:c>
      <x:c r="D51" s="9" t="str">
        <x:v>顶面</x:v>
      </x:c>
      <x:c r="E51" s="9" t="str">
        <x:v>0=NC; 1=ELE0; 2=ELE1; 3=ELE2; 4=ELE3; 5=ELE4; 6=ELE5; 7=GND</x:v>
      </x:c>
      <x:c r="F51" s="9" t="str">
        <x:v>接口逐针网络、引脚数和PCB焊盘已比对；配对线束须按引脚号制作，不能仅凭线色接线。</x:v>
      </x:c>
      <x:c r="G51" s="9" t="str">
        <x:v>设计核查完成；样机验证</x:v>
      </x:c>
      <x:c r="H51" s="9" t="str">
        <x:v>https://item.szlcsc.com/datasheet/SM07B-SRSS-TB(LF)(SN)/171786.html</x:v>
      </x:c>
    </x:row>
    <x:row r="52" ht="88" customHeight="1">
      <x:c r="A52" s="10" t="str">
        <x:v>J3</x:v>
      </x:c>
      <x:c r="B52" s="10" t="str">
        <x:v>SM02B-SRSS-TB(LF)(SN)</x:v>
      </x:c>
      <x:c r="C52" s="10" t="str">
        <x:v>C160402</x:v>
      </x:c>
      <x:c r="D52" s="10" t="str">
        <x:v>顶面</x:v>
      </x:c>
      <x:c r="E52" s="10" t="str">
        <x:v>1=SPK_P; 2=SPK_N; 3=NC; 4=NC</x:v>
      </x:c>
      <x:c r="F52" s="10" t="str">
        <x:v>2针SH1.0扬声器口，接8Ω/2W外置扬声器；需配对线束，两个输出都不接地。</x:v>
      </x:c>
      <x:c r="G52" s="10" t="str">
        <x:v>设计核查完成；样机验证</x:v>
      </x:c>
      <x:c r="H52" s="10" t="str">
        <x:v>https://item.szlcsc.com/datasheet/SM02B-SRSS-TB(LF)(SN)/171782.html</x:v>
      </x:c>
    </x:row>
    <x:row r="53" ht="88" customHeight="1">
      <x:c r="A53" s="9" t="str">
        <x:v>J4</x:v>
      </x:c>
      <x:c r="B53" s="9" t="str">
        <x:v>SM02B-SRSS-TB(LF)(SN)</x:v>
      </x:c>
      <x:c r="C53" s="9" t="str">
        <x:v>C160402</x:v>
      </x:c>
      <x:c r="D53" s="9" t="str">
        <x:v>顶面</x:v>
      </x:c>
      <x:c r="E53" s="9" t="str">
        <x:v>1=DOCK_DET_N; 2=GND; 3=NC; 4=NC</x:v>
      </x:c>
      <x:c r="F53" s="9" t="str">
        <x:v>接口逐针网络、引脚数和PCB焊盘已比对；配对线束须按引脚号制作，不能仅凭线色接线。</x:v>
      </x:c>
      <x:c r="G53" s="9" t="str">
        <x:v>设计核查完成；样机验证</x:v>
      </x:c>
      <x:c r="H53" s="9" t="str">
        <x:v>https://item.szlcsc.com/datasheet/SM02B-SRSS-TB(LF)(SN)/171782.html</x:v>
      </x:c>
    </x:row>
    <x:row r="54" ht="88" customHeight="1">
      <x:c r="A54" s="10" t="str">
        <x:v>J6</x:v>
      </x:c>
      <x:c r="B54" s="10" t="str">
        <x:v>SM02B-SRSS-TB(LF)(SN)</x:v>
      </x:c>
      <x:c r="C54" s="10" t="str">
        <x:v>C160402</x:v>
      </x:c>
      <x:c r="D54" s="10" t="str">
        <x:v>顶面</x:v>
      </x:c>
      <x:c r="E54" s="10" t="str">
        <x:v>1=AUX_KEY_N; 2=GND; 3=NC; 4=NC</x:v>
      </x:c>
      <x:c r="F54" s="10" t="str">
        <x:v>2针SH1.0辅助按键接口：1为AUX_KEY_N，2为GND；接无源按键，不接马达。</x:v>
      </x:c>
      <x:c r="G54" s="10" t="str">
        <x:v>设计核查完成；样机验证</x:v>
      </x:c>
      <x:c r="H54" s="10" t="str">
        <x:v>https://item.szlcsc.com/datasheet/SM02B-SRSS-TB(LF)(SN)/171782.html</x:v>
      </x:c>
    </x:row>
    <x:row r="55" ht="88" customHeight="1">
      <x:c r="A55" s="9" t="str">
        <x:v>J7</x:v>
      </x:c>
      <x:c r="B55" s="9" t="str">
        <x:v>5040500691</x:v>
      </x:c>
      <x:c r="C55" s="9" t="str">
        <x:v>C563981</x:v>
      </x:c>
      <x:c r="D55" s="9" t="str">
        <x:v>顶面</x:v>
      </x:c>
      <x:c r="E55" s="9" t="str">
        <x:v>1=+5V_SYS; 2=+3V3; 3=GND; 4=ACC_SCL_MCU; 5=ACC_SDA_MCU; 6=ACC_DET_N; 7=NC; 8=NC</x:v>
      </x:c>
      <x:c r="F55" s="9" t="str">
        <x:v>外设6针接口含5V、3.3V、GND和两路通信/检测信号；总负载计入升压与系统预算。</x:v>
      </x:c>
      <x:c r="G55" s="9" t="str">
        <x:v>设计核查完成；样机验证</x:v>
      </x:c>
      <x:c r="H55" s="9" t="str">
        <x:v>https://www.molex.com/content/dam/molex/molex-dot-com/products/automated/en-us/salesdrawingpdf/504/504050/5040500691_sd.pdf?inline\</x:v>
      </x:c>
    </x:row>
    <x:row r="56" ht="88" customHeight="1">
      <x:c r="A56" s="10" t="str">
        <x:v>J8</x:v>
      </x:c>
      <x:c r="B56" s="10" t="str">
        <x:v>ZX-0.5FPC-2H-CTXX12P</x:v>
      </x:c>
      <x:c r="C56" s="10" t="str">
        <x:v>C19191175</x:v>
      </x:c>
      <x:c r="D56" s="10" t="str">
        <x:v>顶面</x:v>
      </x:c>
      <x:c r="E56" s="10" t="str">
        <x:v>1=GND; 2=LCD_LEDK; 3=LCD_LEDA; 4=LCD_VCC; 5=GND; 6=GND; 7=LCD_DC; 8=LCD_CS; 9=LCD_SCK; 10=LCD_MOSI; 11=LCD_RST_N; 12=GND; 13=GND; 14=GND</x:v>
      </x:c>
      <x:c r="F56" s="10" t="str">
        <x:v>12针0.5mm FPC座。脚序：1GND/2LEDK/3LEDA/4LCD_VCC/5,6GND/7DC/8CS/9SCK/10MOSI/11RST/12GND；13,14为接地固定脚。GC9A01芯片名不能单独证明用户屏幕排线兼容。</x:v>
      </x:c>
      <x:c r="G56" s="10" t="str">
        <x:v>待现有屏幕规格匹配</x:v>
      </x:c>
      <x:c r="H56" s="10" t="str">
        <x:v>https://item.szlcsc.com/datasheet/ZX-0.5FPC-2H-CTXX12P/20429030.html</x:v>
      </x:c>
    </x:row>
    <x:row r="57" ht="88" customHeight="1">
      <x:c r="A57" s="9" t="str">
        <x:v>J101</x:v>
      </x:c>
      <x:c r="B57" s="9" t="str">
        <x:v>TYPE-C-31-M-12</x:v>
      </x:c>
      <x:c r="C57" s="9" t="str">
        <x:v>C165948</x:v>
      </x:c>
      <x:c r="D57" s="9" t="str">
        <x:v>顶面</x:v>
      </x:c>
      <x:c r="E57" s="9" t="str">
        <x:v>1=GND; 2=GND; 3=GND; 4=GND; A1B12=GND; A4B9=USB_VBUS; B8=NC; A5=USB_CC1; B7=USB_DM_CONN; A6=USB_DP_CONN; A7=USB_DM_CONN; B6=USB_DP_CONN; A8=NC; B5=USB_CC2; B4A9=USB_VBUS; B1A12=GND</x:v>
      </x:c>
      <x:c r="F57" s="9" t="str">
        <x:v>接口逐针网络、引脚数和PCB焊盘已比对；配对线束须按引脚号制作，不能仅凭线色接线。</x:v>
      </x:c>
      <x:c r="G57" s="9" t="str">
        <x:v>设计核查完成；样机验证</x:v>
      </x:c>
      <x:c r="H57" s="9" t="str">
        <x:v>https://item.szlcsc.com/datasheet/TYPE-C-31-M-12/177331.html</x:v>
      </x:c>
    </x:row>
    <x:row r="58" ht="88" customHeight="1">
      <x:c r="A58" s="10" t="str">
        <x:v>J104</x:v>
      </x:c>
      <x:c r="B58" s="10" t="str">
        <x:v>5040500391</x:v>
      </x:c>
      <x:c r="C58" s="10" t="str">
        <x:v>C17265920</x:v>
      </x:c>
      <x:c r="D58" s="10" t="str">
        <x:v>底面</x:v>
      </x:c>
      <x:c r="E58" s="10" t="str">
        <x:v>1=VBAT_PROT; 2=GND; 3=BAT_NTC; 4=NC; 5=NC</x:v>
      </x:c>
      <x:c r="F58" s="10" t="str">
        <x:v>3针电池口：保护1S电池与真实10kΩ NTC。电芯允许充电电流至少覆盖设定值，接插件线序以表中网络为准。</x:v>
      </x:c>
      <x:c r="G58" s="10" t="str">
        <x:v>设计核查完成；样机验证</x:v>
      </x:c>
      <x:c r="H58" s="10" t="str">
        <x:v>https://www.molex.com/content/dam/molex/molex-dot-com/products/automated/en-us/salesdrawingpdf/504/504050/5040500391_sd.pdf?inline\</x:v>
      </x:c>
    </x:row>
    <x:row r="59" ht="88" customHeight="1">
      <x:c r="A59" s="9" t="str">
        <x:v>J110</x:v>
      </x:c>
      <x:c r="B59" s="9" t="str">
        <x:v>SM02B-SRSS-TB(LF)(SN)</x:v>
      </x:c>
      <x:c r="C59" s="9" t="str">
        <x:v>C160402</x:v>
      </x:c>
      <x:c r="D59" s="9" t="str">
        <x:v>顶面</x:v>
      </x:c>
      <x:c r="E59" s="9" t="str">
        <x:v>1=HAPTIC_OUT_P; 2=HAPTIC_OUT_N; 3=NC; 4=NC</x:v>
      </x:c>
      <x:c r="F59" s="9" t="str">
        <x:v>2针SH1.0 LRA口，1为HAPTIC_OUT_P、2为HAPTIC_OUT_N，接DRV2605L差分输出；需配对线束；两线都不接地，不能接直流电源。</x:v>
      </x:c>
      <x:c r="G59" s="9" t="str">
        <x:v>设计核查完成；样机验证</x:v>
      </x:c>
      <x:c r="H59" s="9" t="str">
        <x:v>https://item.szlcsc.com/datasheet/SM02B-SRSS-TB(LF)(SN)/171782.html</x:v>
      </x:c>
    </x:row>
    <x:row r="60" ht="88" customHeight="1">
      <x:c r="A60" s="10" t="str">
        <x:v>J111</x:v>
      </x:c>
      <x:c r="B60" s="10" t="str">
        <x:v>5040500491</x:v>
      </x:c>
      <x:c r="C60" s="10" t="str">
        <x:v>C177235</x:v>
      </x:c>
      <x:c r="D60" s="10" t="str">
        <x:v>顶面</x:v>
      </x:c>
      <x:c r="E60" s="10" t="str">
        <x:v>1=VSYS_RAW; 2=MAIN_IN; 3=BOOST_5V; 4=+5V_SYS; 5=NC; 6=NC</x:v>
      </x:c>
      <x:c r="F60" s="10" t="str">
        <x:v>外置DPST机械开关口；两组触点分别控制主电源和5V支路，不得将四脚并接。</x:v>
      </x:c>
      <x:c r="G60" s="10" t="str">
        <x:v>设计核查完成；样机验证</x:v>
      </x:c>
      <x:c r="H60" s="10" t="str">
        <x:v>https://www.molex.com/content/dam/molex/molex-dot-com/products/automated/en-us/salesdrawingpdf/504/504050/5040500491_sd.pdf?inline\</x:v>
      </x:c>
    </x:row>
    <x:row r="61" ht="88" customHeight="1">
      <x:c r="A61" s="9" t="str">
        <x:v>J201</x:v>
      </x:c>
      <x:c r="B61" s="9" t="str">
        <x:v>ZX-HY2.0-4PWT</x:v>
      </x:c>
      <x:c r="C61" s="9" t="str">
        <x:v>C7429571</x:v>
      </x:c>
      <x:c r="D61" s="9" t="str">
        <x:v>顶面</x:v>
      </x:c>
      <x:c r="E61" s="9" t="str">
        <x:v>1=I2C_SCL; 2=I2C_SDA; 3=+3V3; 4=GND; 5=NC; 6=NC</x:v>
      </x:c>
      <x:c r="F61" s="9" t="str">
        <x:v>NFC口改为3.3V：1SCL/2SDA/3VCC/4GND。优先PN532 Grove NFC 113020006（历史C445568），设I2C模式0x24并制作对应线束；商城现货未确认。</x:v>
      </x:c>
      <x:c r="G61" s="9" t="str">
        <x:v>接口完成；模块现货待确认</x:v>
      </x:c>
      <x:c r="H61" s="9" t="str">
        <x:v>https://item.szlcsc.com/datasheet/ZX-HY2.0-4PWT/8427488.html</x:v>
      </x:c>
    </x:row>
    <x:row r="62" ht="88" customHeight="1">
      <x:c r="A62" s="10" t="str">
        <x:v>L101</x:v>
      </x:c>
      <x:c r="B62" s="10" t="str">
        <x:v>MWSA0503S-R47MT</x:v>
      </x:c>
      <x:c r="C62" s="10" t="str">
        <x:v>C408353</x:v>
      </x:c>
      <x:c r="D62" s="10" t="str">
        <x:v>底面</x:v>
      </x:c>
      <x:c r="E62" s="10" t="str">
        <x:v>1=BB_SW1; 2=BB_SW2</x:v>
      </x:c>
      <x:c r="F62" s="10" t="str">
        <x:v>470nH MWSA0503S-R47MT，匹配TPS63802建议范围；短粗开关回路。饱和电流、DCR和温升按厂家规格及实际负载复核。</x:v>
      </x:c>
      <x:c r="G62" s="10" t="str">
        <x:v>设计核查完成；样机验证</x:v>
      </x:c>
      <x:c r="H62" s="10" t="str">
        <x:v>https://item.szlcsc.com/datasheet/MWSA0503S-R47MT/397755.html</x:v>
      </x:c>
    </x:row>
    <x:row r="63" ht="88" customHeight="1">
      <x:c r="A63" s="9" t="str">
        <x:v>L102</x:v>
      </x:c>
      <x:c r="B63" s="9" t="str">
        <x:v>MWSA0402S-1R0MT</x:v>
      </x:c>
      <x:c r="C63" s="9" t="str">
        <x:v>C408332</x:v>
      </x:c>
      <x:c r="D63" s="9" t="str">
        <x:v>底面</x:v>
      </x:c>
      <x:c r="E63" s="9" t="str">
        <x:v>1=MAIN_IN; 2=BOOST_SW</x:v>
      </x:c>
      <x:c r="F63" s="9" t="str">
        <x:v>1µH MWSA0402S-1R0MT，匹配TPS61023；DCR上限27mΩ，不能将开关限流当作输出额定电流。</x:v>
      </x:c>
      <x:c r="G63" s="9" t="str">
        <x:v>设计核查完成；样机验证</x:v>
      </x:c>
      <x:c r="H63" s="9" t="str">
        <x:v>https://item.szlcsc.com/datasheet/MWSA0402S-1R0MT/397734.html</x:v>
      </x:c>
    </x:row>
    <x:row r="64" ht="88" customHeight="1">
      <x:c r="A64" s="10" t="str">
        <x:v>Q2</x:v>
      </x:c>
      <x:c r="B64" s="10" t="str">
        <x:v>AO3400A</x:v>
      </x:c>
      <x:c r="C64" s="10" t="str">
        <x:v>C20917</x:v>
      </x:c>
      <x:c r="D64" s="10" t="str">
        <x:v>顶面</x:v>
      </x:c>
      <x:c r="E64" s="10" t="str">
        <x:v>1=LCD_BL_GATE; 2=GND; 3=LCD_LEDK</x:v>
      </x:c>
      <x:c r="F64" s="10" t="str">
        <x:v>栅极/源极/漏极逐脚比对；3.3V逻辑驱动。用于背光、小信号检测或电池采样开关，不作为主电源保护器件。</x:v>
      </x:c>
      <x:c r="G64" s="10" t="str">
        <x:v>设计核查完成；样机验证</x:v>
      </x:c>
      <x:c r="H64" s="10" t="str">
        <x:v>https://item.szlcsc.com/datasheet/AO3400A/21629.html</x:v>
      </x:c>
    </x:row>
    <x:row r="65" ht="88" customHeight="1">
      <x:c r="A65" s="9" t="str">
        <x:v>Q102</x:v>
      </x:c>
      <x:c r="B65" s="9" t="str">
        <x:v>AO3401A</x:v>
      </x:c>
      <x:c r="C65" s="9" t="str">
        <x:v>C15127</x:v>
      </x:c>
      <x:c r="D65" s="9" t="str">
        <x:v>底面</x:v>
      </x:c>
      <x:c r="E65" s="9" t="str">
        <x:v>1=BAT_SENSE_GATE; 2=VBAT_PROT; 3=VBAT_SENSE_ON</x:v>
      </x:c>
      <x:c r="F65" s="9" t="str">
        <x:v>栅极/源极/漏极逐脚比对；3.3V逻辑驱动。用于背光、小信号检测或电池采样开关，不作为主电源保护器件。</x:v>
      </x:c>
      <x:c r="G65" s="9" t="str">
        <x:v>设计核查完成；样机验证</x:v>
      </x:c>
      <x:c r="H65" s="9" t="str">
        <x:v>https://item.szlcsc.com/datasheet/AO3401A/15801.html</x:v>
      </x:c>
    </x:row>
    <x:row r="66" ht="88" customHeight="1">
      <x:c r="A66" s="10" t="str">
        <x:v>Q103</x:v>
      </x:c>
      <x:c r="B66" s="10" t="str">
        <x:v>AO3400A</x:v>
      </x:c>
      <x:c r="C66" s="10" t="str">
        <x:v>C20917</x:v>
      </x:c>
      <x:c r="D66" s="10" t="str">
        <x:v>底面</x:v>
      </x:c>
      <x:c r="E66" s="10" t="str">
        <x:v>1=+3V3; 2=GND; 3=BAT_SENSE_GATE</x:v>
      </x:c>
      <x:c r="F66" s="10" t="str">
        <x:v>栅极/源极/漏极逐脚比对；3.3V逻辑驱动。用于背光、小信号检测或电池采样开关，不作为主电源保护器件。</x:v>
      </x:c>
      <x:c r="G66" s="10" t="str">
        <x:v>设计核查完成；样机验证</x:v>
      </x:c>
      <x:c r="H66" s="10" t="str">
        <x:v>https://item.szlcsc.com/datasheet/AO3400A/21629.html</x:v>
      </x:c>
    </x:row>
    <x:row r="67" ht="88" customHeight="1">
      <x:c r="A67" s="9" t="str">
        <x:v>Q104</x:v>
      </x:c>
      <x:c r="B67" s="9" t="str">
        <x:v>AO3400A</x:v>
      </x:c>
      <x:c r="C67" s="9" t="str">
        <x:v>C20917</x:v>
      </x:c>
      <x:c r="D67" s="9" t="str">
        <x:v>底面</x:v>
      </x:c>
      <x:c r="E67" s="9" t="str">
        <x:v>1=USB_DETECT_GATE; 2=GND; 3=USB_PRESENT_N</x:v>
      </x:c>
      <x:c r="F67" s="9" t="str">
        <x:v>栅极/源极/漏极逐脚比对；3.3V逻辑驱动。用于背光、小信号检测或电池采样开关，不作为主电源保护器件。</x:v>
      </x:c>
      <x:c r="G67" s="9" t="str">
        <x:v>设计核查完成；样机验证</x:v>
      </x:c>
      <x:c r="H67" s="9" t="str">
        <x:v>https://item.szlcsc.com/datasheet/AO3400A/21629.html</x:v>
      </x:c>
    </x:row>
    <x:row r="68" ht="88" customHeight="1">
      <x:c r="A68" s="10" t="str">
        <x:v>R1</x:v>
      </x:c>
      <x:c r="B68" s="10" t="str">
        <x:v>0603WAF1002T5E</x:v>
      </x:c>
      <x:c r="C68" s="10" t="str">
        <x:v>C25804</x:v>
      </x:c>
      <x:c r="D68" s="10" t="str">
        <x:v>顶面</x:v>
      </x:c>
      <x:c r="E68" s="10" t="str">
        <x:v>1=+3V3; 2=MCU_EN</x:v>
      </x:c>
      <x:c r="F68" s="10" t="str">
        <x:v>10kΩ、100mW；逐脚核对拉阻、分压或信号串阻用途。按两端5.5V、阻值-1%的保守静态界限，功耗不超过3.06mW。</x:v>
      </x:c>
      <x:c r="G68" s="10" t="str">
        <x:v>设计核查完成；样机验证</x:v>
      </x:c>
      <x:c r="H68" s="10" t="str">
        <x:v>https://item.szlcsc.com/datasheet/0603WAF1002T5E/26547.html</x:v>
      </x:c>
    </x:row>
    <x:row r="69" ht="88" customHeight="1">
      <x:c r="A69" s="9" t="str">
        <x:v>R2</x:v>
      </x:c>
      <x:c r="B69" s="9" t="str">
        <x:v>0603WAF1002T5E</x:v>
      </x:c>
      <x:c r="C69" s="9" t="str">
        <x:v>C25804</x:v>
      </x:c>
      <x:c r="D69" s="9" t="str">
        <x:v>顶面</x:v>
      </x:c>
      <x:c r="E69" s="9" t="str">
        <x:v>1=+3V3; 2=BOOT_N</x:v>
      </x:c>
      <x:c r="F69" s="9" t="str">
        <x:v>10kΩ、100mW；逐脚核对拉阻、分压或信号串阻用途。按两端5.5V、阻值-1%的保守静态界限，功耗不超过3.06mW。</x:v>
      </x:c>
      <x:c r="G69" s="9" t="str">
        <x:v>设计核查完成；样机验证</x:v>
      </x:c>
      <x:c r="H69" s="9" t="str">
        <x:v>https://item.szlcsc.com/datasheet/0603WAF1002T5E/26547.html</x:v>
      </x:c>
    </x:row>
    <x:row r="70" ht="88" customHeight="1">
      <x:c r="A70" s="10" t="str">
        <x:v>R3</x:v>
      </x:c>
      <x:c r="B70" s="10" t="str">
        <x:v>0603WAF1002T5E</x:v>
      </x:c>
      <x:c r="C70" s="10" t="str">
        <x:v>C25804</x:v>
      </x:c>
      <x:c r="D70" s="10" t="str">
        <x:v>顶面</x:v>
      </x:c>
      <x:c r="E70" s="10" t="str">
        <x:v>1=+3V3; 2=KEY_N</x:v>
      </x:c>
      <x:c r="F70" s="10" t="str">
        <x:v>10kΩ、100mW；逐脚核对拉阻、分压或信号串阻用途。按两端5.5V、阻值-1%的保守静态界限，功耗不超过3.06mW。</x:v>
      </x:c>
      <x:c r="G70" s="10" t="str">
        <x:v>设计核查完成；样机验证</x:v>
      </x:c>
      <x:c r="H70" s="10" t="str">
        <x:v>https://item.szlcsc.com/datasheet/0603WAF1002T5E/26547.html</x:v>
      </x:c>
    </x:row>
    <x:row r="71" ht="88" customHeight="1">
      <x:c r="A71" s="9" t="str">
        <x:v>R4</x:v>
      </x:c>
      <x:c r="B71" s="9" t="str">
        <x:v>0603WAF4701T5E</x:v>
      </x:c>
      <x:c r="C71" s="9" t="str">
        <x:v>C23162</x:v>
      </x:c>
      <x:c r="D71" s="9" t="str">
        <x:v>顶面</x:v>
      </x:c>
      <x:c r="E71" s="9" t="str">
        <x:v>1=+3V3; 2=I2C_SDA</x:v>
      </x:c>
      <x:c r="F71" s="9" t="str">
        <x:v>4.7kΩ、100mW；逐脚核对拉阻、分压或信号串阻用途。按两端5.5V、阻值-1%的保守静态界限，功耗不超过6.5mW。</x:v>
      </x:c>
      <x:c r="G71" s="9" t="str">
        <x:v>设计核查完成；样机验证</x:v>
      </x:c>
      <x:c r="H71" s="9" t="str">
        <x:v>https://item.szlcsc.com/datasheet/0603WAF4701T5E/23889.html</x:v>
      </x:c>
    </x:row>
    <x:row r="72" ht="88" customHeight="1">
      <x:c r="A72" s="10" t="str">
        <x:v>R5</x:v>
      </x:c>
      <x:c r="B72" s="10" t="str">
        <x:v>0603WAF4701T5E</x:v>
      </x:c>
      <x:c r="C72" s="10" t="str">
        <x:v>C23162</x:v>
      </x:c>
      <x:c r="D72" s="10" t="str">
        <x:v>顶面</x:v>
      </x:c>
      <x:c r="E72" s="10" t="str">
        <x:v>1=+3V3; 2=I2C_SCL</x:v>
      </x:c>
      <x:c r="F72" s="10" t="str">
        <x:v>4.7kΩ、100mW；逐脚核对拉阻、分压或信号串阻用途。按两端5.5V、阻值-1%的保守静态界限，功耗不超过6.5mW。</x:v>
      </x:c>
      <x:c r="G72" s="10" t="str">
        <x:v>设计核查完成；样机验证</x:v>
      </x:c>
      <x:c r="H72" s="10" t="str">
        <x:v>https://item.szlcsc.com/datasheet/0603WAF4701T5E/23889.html</x:v>
      </x:c>
    </x:row>
    <x:row r="73" ht="88" customHeight="1">
      <x:c r="A73" s="9" t="str">
        <x:v>R6</x:v>
      </x:c>
      <x:c r="B73" s="9" t="str">
        <x:v>0603WAF1002T5E</x:v>
      </x:c>
      <x:c r="C73" s="9" t="str">
        <x:v>C25804</x:v>
      </x:c>
      <x:c r="D73" s="9" t="str">
        <x:v>底面</x:v>
      </x:c>
      <x:c r="E73" s="9" t="str">
        <x:v>1=+3V3; 2=TOUCH_IRQ_N</x:v>
      </x:c>
      <x:c r="F73" s="9" t="str">
        <x:v>10kΩ、100mW；逐脚核对拉阻、分压或信号串阻用途。按两端5.5V、阻值-1%的保守静态界限，功耗不超过3.06mW。</x:v>
      </x:c>
      <x:c r="G73" s="9" t="str">
        <x:v>设计核查完成；样机验证</x:v>
      </x:c>
      <x:c r="H73" s="9" t="str">
        <x:v>https://item.szlcsc.com/datasheet/0603WAF1002T5E/26547.html</x:v>
      </x:c>
    </x:row>
    <x:row r="74" ht="88" customHeight="1">
      <x:c r="A74" s="10" t="str">
        <x:v>R8</x:v>
      </x:c>
      <x:c r="B74" s="10" t="str">
        <x:v>0603WAF2201T5E</x:v>
      </x:c>
      <x:c r="C74" s="10" t="str">
        <x:v>C4190</x:v>
      </x:c>
      <x:c r="D74" s="10" t="str">
        <x:v>底面</x:v>
      </x:c>
      <x:c r="E74" s="10" t="str">
        <x:v>1=AMP_ENABLE; 2=AMP_SD_MODE</x:v>
      </x:c>
      <x:c r="F74" s="10" t="str">
        <x:v>2.2kΩ使能串阻，配10kΩ下拉限制注入；SD_MODE高电平仍满足左声道选择门限。</x:v>
      </x:c>
      <x:c r="G74" s="10" t="str">
        <x:v>设计核查完成；样机验证</x:v>
      </x:c>
      <x:c r="H74" s="10" t="str">
        <x:v>https://item.szlcsc.com/datasheet/0603WAF2201T5E/4597.html</x:v>
      </x:c>
    </x:row>
    <x:row r="75" ht="88" customHeight="1">
      <x:c r="A75" s="9" t="str">
        <x:v>R9</x:v>
      </x:c>
      <x:c r="B75" s="9" t="str">
        <x:v>0603WAF1002T5E</x:v>
      </x:c>
      <x:c r="C75" s="9" t="str">
        <x:v>C25804</x:v>
      </x:c>
      <x:c r="D75" s="9" t="str">
        <x:v>底面</x:v>
      </x:c>
      <x:c r="E75" s="9" t="str">
        <x:v>1=AMP_SD_MODE; 2=GND</x:v>
      </x:c>
      <x:c r="F75" s="9" t="str">
        <x:v>10kΩ、100mW；逐脚核对拉阻、分压或信号串阻用途。按两端5.5V、阻值-1%的保守静态界限，功耗不超过3.06mW。</x:v>
      </x:c>
      <x:c r="G75" s="9" t="str">
        <x:v>设计核查完成；样机验证</x:v>
      </x:c>
      <x:c r="H75" s="9" t="str">
        <x:v>https://item.szlcsc.com/datasheet/0603WAF1002T5E/26547.html</x:v>
      </x:c>
    </x:row>
    <x:row r="76" ht="88" customHeight="1">
      <x:c r="A76" s="10" t="str">
        <x:v>R10</x:v>
      </x:c>
      <x:c r="B76" s="10" t="str">
        <x:v>0603WAF1003T5E</x:v>
      </x:c>
      <x:c r="C76" s="10" t="str">
        <x:v>C25803</x:v>
      </x:c>
      <x:c r="D76" s="10" t="str">
        <x:v>底面</x:v>
      </x:c>
      <x:c r="E76" s="10" t="str">
        <x:v>1=AMP_ENABLE; 2=GND</x:v>
      </x:c>
      <x:c r="F76" s="10" t="str">
        <x:v>100kΩ、100mW；逐脚核对拉阻、分压或信号串阻用途。按两端5.5V、阻值-1%的保守静态界限，功耗不超过0.306mW。</x:v>
      </x:c>
      <x:c r="G76" s="10" t="str">
        <x:v>设计核查完成；样机验证</x:v>
      </x:c>
      <x:c r="H76" s="10" t="str">
        <x:v>https://item.szlcsc.com/datasheet/0603WAF1003T5E/26546.html</x:v>
      </x:c>
    </x:row>
    <x:row r="77" ht="88" customHeight="1">
      <x:c r="A77" s="9" t="str">
        <x:v>R15</x:v>
      </x:c>
      <x:c r="B77" s="9" t="str">
        <x:v>0603WAF1003T5E</x:v>
      </x:c>
      <x:c r="C77" s="9" t="str">
        <x:v>C25803</x:v>
      </x:c>
      <x:c r="D77" s="9" t="str">
        <x:v>顶面</x:v>
      </x:c>
      <x:c r="E77" s="9" t="str">
        <x:v>1=PDM_DATA_L; 2=GND</x:v>
      </x:c>
      <x:c r="F77" s="9" t="str">
        <x:v>100kΩ、100mW；逐脚核对拉阻、分压或信号串阻用途。按两端5.5V、阻值-1%的保守静态界限，功耗不超过0.306mW。</x:v>
      </x:c>
      <x:c r="G77" s="9" t="str">
        <x:v>设计核查完成；样机验证</x:v>
      </x:c>
      <x:c r="H77" s="9" t="str">
        <x:v>https://item.szlcsc.com/datasheet/0603WAF1003T5E/26546.html</x:v>
      </x:c>
    </x:row>
    <x:row r="78" ht="88" customHeight="1">
      <x:c r="A78" s="10" t="str">
        <x:v>R18</x:v>
      </x:c>
      <x:c r="B78" s="10" t="str">
        <x:v>0603WAF1002T5E</x:v>
      </x:c>
      <x:c r="C78" s="10" t="str">
        <x:v>C25804</x:v>
      </x:c>
      <x:c r="D78" s="10" t="str">
        <x:v>底面</x:v>
      </x:c>
      <x:c r="E78" s="10" t="str">
        <x:v>1=+3V3; 2=EXP_IRQ_N</x:v>
      </x:c>
      <x:c r="F78" s="10" t="str">
        <x:v>10kΩ、100mW；逐脚核对拉阻、分压或信号串阻用途。按两端5.5V、阻值-1%的保守静态界限，功耗不超过3.06mW。</x:v>
      </x:c>
      <x:c r="G78" s="10" t="str">
        <x:v>设计核查完成；样机验证</x:v>
      </x:c>
      <x:c r="H78" s="10" t="str">
        <x:v>https://item.szlcsc.com/datasheet/0603WAF1002T5E/26547.html</x:v>
      </x:c>
    </x:row>
    <x:row r="79" ht="88" customHeight="1">
      <x:c r="A79" s="9" t="str">
        <x:v>R19</x:v>
      </x:c>
      <x:c r="B79" s="9" t="str">
        <x:v>0603WAF1002T5E</x:v>
      </x:c>
      <x:c r="C79" s="9" t="str">
        <x:v>C25804</x:v>
      </x:c>
      <x:c r="D79" s="9" t="str">
        <x:v>底面</x:v>
      </x:c>
      <x:c r="E79" s="9" t="str">
        <x:v>1=+3V3; 2=DOCK_DET_N</x:v>
      </x:c>
      <x:c r="F79" s="9" t="str">
        <x:v>10kΩ、100mW；逐脚核对拉阻、分压或信号串阻用途。按两端5.5V、阻值-1%的保守静态界限，功耗不超过3.06mW。</x:v>
      </x:c>
      <x:c r="G79" s="9" t="str">
        <x:v>设计核查完成；样机验证</x:v>
      </x:c>
      <x:c r="H79" s="9" t="str">
        <x:v>https://item.szlcsc.com/datasheet/0603WAF1002T5E/26547.html</x:v>
      </x:c>
    </x:row>
    <x:row r="80" ht="88" customHeight="1">
      <x:c r="A80" s="10" t="str">
        <x:v>R22</x:v>
      </x:c>
      <x:c r="B80" s="10" t="str">
        <x:v>0603WAF1002T5E</x:v>
      </x:c>
      <x:c r="C80" s="10" t="str">
        <x:v>C25804</x:v>
      </x:c>
      <x:c r="D80" s="10" t="str">
        <x:v>底面</x:v>
      </x:c>
      <x:c r="E80" s="10" t="str">
        <x:v>1=+3V3; 2=AUX_KEY_N</x:v>
      </x:c>
      <x:c r="F80" s="10" t="str">
        <x:v>10kΩ、100mW；逐脚核对拉阻、分压或信号串阻用途。按两端5.5V、阻值-1%的保守静态界限，功耗不超过3.06mW。</x:v>
      </x:c>
      <x:c r="G80" s="10" t="str">
        <x:v>设计核查完成；样机验证</x:v>
      </x:c>
      <x:c r="H80" s="10" t="str">
        <x:v>https://item.szlcsc.com/datasheet/0603WAF1002T5E/26547.html</x:v>
      </x:c>
    </x:row>
    <x:row r="81" ht="88" customHeight="1">
      <x:c r="A81" s="9" t="str">
        <x:v>R26</x:v>
      </x:c>
      <x:c r="B81" s="9" t="str">
        <x:v>0603WAF1003T5E</x:v>
      </x:c>
      <x:c r="C81" s="9" t="str">
        <x:v>C25803</x:v>
      </x:c>
      <x:c r="D81" s="9" t="str">
        <x:v>顶面</x:v>
      </x:c>
      <x:c r="E81" s="9" t="str">
        <x:v>1=PDM_CLK_MCU; 2=GND</x:v>
      </x:c>
      <x:c r="F81" s="9" t="str">
        <x:v>100kΩ、100mW；逐脚核对拉阻、分压或信号串阻用途。按两端5.5V、阻值-1%的保守静态界限，功耗不超过0.306mW。</x:v>
      </x:c>
      <x:c r="G81" s="9" t="str">
        <x:v>设计核查完成；样机验证</x:v>
      </x:c>
      <x:c r="H81" s="9" t="str">
        <x:v>https://item.szlcsc.com/datasheet/0603WAF1003T5E/26546.html</x:v>
      </x:c>
    </x:row>
    <x:row r="82" ht="88" customHeight="1">
      <x:c r="A82" s="10" t="str">
        <x:v>R32</x:v>
      </x:c>
      <x:c r="B82" s="10" t="str">
        <x:v>0603WAF330JT5E</x:v>
      </x:c>
      <x:c r="C82" s="10" t="str">
        <x:v>C23140</x:v>
      </x:c>
      <x:c r="D82" s="10" t="str">
        <x:v>顶面</x:v>
      </x:c>
      <x:c r="E82" s="10" t="str">
        <x:v>1=LCD_DC_MCU; 2=LCD_DC</x:v>
      </x:c>
      <x:c r="F82" s="10" t="str">
        <x:v>33Ω、100mW；逐脚核对拉阻、分压或信号串阻用途。低阻信号串阻不承担外部持续短路保护。</x:v>
      </x:c>
      <x:c r="G82" s="10" t="str">
        <x:v>设计核查完成；样机验证</x:v>
      </x:c>
      <x:c r="H82" s="10" t="str">
        <x:v>https://item.szlcsc.com/datasheet/0603WAF330JT5E/23867.html</x:v>
      </x:c>
    </x:row>
    <x:row r="83" ht="88" customHeight="1">
      <x:c r="A83" s="9" t="str">
        <x:v>R33</x:v>
      </x:c>
      <x:c r="B83" s="9" t="str">
        <x:v>0603WAF330JT5E</x:v>
      </x:c>
      <x:c r="C83" s="9" t="str">
        <x:v>C23140</x:v>
      </x:c>
      <x:c r="D83" s="9" t="str">
        <x:v>顶面</x:v>
      </x:c>
      <x:c r="E83" s="9" t="str">
        <x:v>1=LCD_CS_MCU; 2=LCD_CS</x:v>
      </x:c>
      <x:c r="F83" s="9" t="str">
        <x:v>33Ω、100mW；逐脚核对拉阻、分压或信号串阻用途。低阻信号串阻不承担外部持续短路保护。</x:v>
      </x:c>
      <x:c r="G83" s="9" t="str">
        <x:v>设计核查完成；样机验证</x:v>
      </x:c>
      <x:c r="H83" s="9" t="str">
        <x:v>https://item.szlcsc.com/datasheet/0603WAF330JT5E/23867.html</x:v>
      </x:c>
    </x:row>
    <x:row r="84" ht="88" customHeight="1">
      <x:c r="A84" s="10" t="str">
        <x:v>R34</x:v>
      </x:c>
      <x:c r="B84" s="10" t="str">
        <x:v>0603WAF330JT5E</x:v>
      </x:c>
      <x:c r="C84" s="10" t="str">
        <x:v>C23140</x:v>
      </x:c>
      <x:c r="D84" s="10" t="str">
        <x:v>顶面</x:v>
      </x:c>
      <x:c r="E84" s="10" t="str">
        <x:v>1=LCD_MOSI_MCU; 2=LCD_MOSI</x:v>
      </x:c>
      <x:c r="F84" s="10" t="str">
        <x:v>33Ω、100mW；逐脚核对拉阻、分压或信号串阻用途。低阻信号串阻不承担外部持续短路保护。</x:v>
      </x:c>
      <x:c r="G84" s="10" t="str">
        <x:v>设计核查完成；样机验证</x:v>
      </x:c>
      <x:c r="H84" s="10" t="str">
        <x:v>https://item.szlcsc.com/datasheet/0603WAF330JT5E/23867.html</x:v>
      </x:c>
    </x:row>
    <x:row r="85" ht="88" customHeight="1">
      <x:c r="A85" s="9" t="str">
        <x:v>R35</x:v>
      </x:c>
      <x:c r="B85" s="9" t="str">
        <x:v>0603WAF330JT5E</x:v>
      </x:c>
      <x:c r="C85" s="9" t="str">
        <x:v>C23140</x:v>
      </x:c>
      <x:c r="D85" s="9" t="str">
        <x:v>顶面</x:v>
      </x:c>
      <x:c r="E85" s="9" t="str">
        <x:v>1=LCD_SCK_MCU; 2=LCD_SCK</x:v>
      </x:c>
      <x:c r="F85" s="9" t="str">
        <x:v>33Ω、100mW；逐脚核对拉阻、分压或信号串阻用途。低阻信号串阻不承担外部持续短路保护。</x:v>
      </x:c>
      <x:c r="G85" s="9" t="str">
        <x:v>设计核查完成；样机验证</x:v>
      </x:c>
      <x:c r="H85" s="9" t="str">
        <x:v>https://item.szlcsc.com/datasheet/0603WAF330JT5E/23867.html</x:v>
      </x:c>
    </x:row>
    <x:row r="86" ht="88" customHeight="1">
      <x:c r="A86" s="10" t="str">
        <x:v>R36</x:v>
      </x:c>
      <x:c r="B86" s="10" t="str">
        <x:v>0603WAF1002T5E</x:v>
      </x:c>
      <x:c r="C86" s="10" t="str">
        <x:v>C25804</x:v>
      </x:c>
      <x:c r="D86" s="10" t="str">
        <x:v>顶面</x:v>
      </x:c>
      <x:c r="E86" s="10" t="str">
        <x:v>1=+3V3; 2=LCD_RST_N</x:v>
      </x:c>
      <x:c r="F86" s="10" t="str">
        <x:v>10kΩ、100mW；逐脚核对拉阻、分压或信号串阻用途。按两端5.5V、阻值-1%的保守静态界限，功耗不超过3.06mW。</x:v>
      </x:c>
      <x:c r="G86" s="10" t="str">
        <x:v>设计核查完成；样机验证</x:v>
      </x:c>
      <x:c r="H86" s="10" t="str">
        <x:v>https://item.szlcsc.com/datasheet/0603WAF1002T5E/26547.html</x:v>
      </x:c>
    </x:row>
    <x:row r="87" ht="88" customHeight="1">
      <x:c r="A87" s="9" t="str">
        <x:v>R37</x:v>
      </x:c>
      <x:c r="B87" s="9" t="str">
        <x:v>0603WAF1000T5E</x:v>
      </x:c>
      <x:c r="C87" s="9" t="str">
        <x:v>C22775</x:v>
      </x:c>
      <x:c r="D87" s="9" t="str">
        <x:v>顶面</x:v>
      </x:c>
      <x:c r="E87" s="9" t="str">
        <x:v>1=LCD_BL_PWM; 2=LCD_BL_GATE</x:v>
      </x:c>
      <x:c r="F87" s="9" t="str">
        <x:v>100Ω、100mW；逐脚核对拉阻、分压或信号串阻用途。低阻信号串阻不承担外部持续短路保护。</x:v>
      </x:c>
      <x:c r="G87" s="9" t="str">
        <x:v>设计核查完成；样机验证</x:v>
      </x:c>
      <x:c r="H87" s="9" t="str">
        <x:v>https://atta.szlcsc.com/upload/public/pdf/source/20200306/C422600_1E6D84923E4A46A82E41ADD87F860B5C.pdf</x:v>
      </x:c>
    </x:row>
    <x:row r="88" ht="88" customHeight="1">
      <x:c r="A88" s="10" t="str">
        <x:v>R38</x:v>
      </x:c>
      <x:c r="B88" s="10" t="str">
        <x:v>0603WAF1003T5E</x:v>
      </x:c>
      <x:c r="C88" s="10" t="str">
        <x:v>C25803</x:v>
      </x:c>
      <x:c r="D88" s="10" t="str">
        <x:v>顶面</x:v>
      </x:c>
      <x:c r="E88" s="10" t="str">
        <x:v>1=LCD_BL_GATE; 2=GND</x:v>
      </x:c>
      <x:c r="F88" s="10" t="str">
        <x:v>100kΩ、100mW；逐脚核对拉阻、分压或信号串阻用途。按两端5.5V、阻值-1%的保守静态界限，功耗不超过0.306mW。</x:v>
      </x:c>
      <x:c r="G88" s="10" t="str">
        <x:v>设计核查完成；样机验证</x:v>
      </x:c>
      <x:c r="H88" s="10" t="str">
        <x:v>https://item.szlcsc.com/datasheet/0603WAF1003T5E/26546.html</x:v>
      </x:c>
    </x:row>
    <x:row r="89" ht="88" customHeight="1">
      <x:c r="A89" s="9" t="str">
        <x:v>R39</x:v>
      </x:c>
      <x:c r="B89" s="9" t="str">
        <x:v>1206W4F100JT5E</x:v>
      </x:c>
      <x:c r="C89" s="9" t="str">
        <x:v>C17903</x:v>
      </x:c>
      <x:c r="D89" s="9" t="str">
        <x:v>顶面</x:v>
      </x:c>
      <x:c r="E89" s="9" t="str">
        <x:v>1=+3V3; 2=LCD_LEDA</x:v>
      </x:c>
      <x:c r="F89" s="9" t="str">
        <x:v>10Ω、1206、250mW背光串阻已同步到PCB料号C17903。100mA时耗散0.1W；实际屏幕LED额定值尚需实物规格匹配。</x:v>
      </x:c>
      <x:c r="G89" s="9" t="str">
        <x:v>待现有屏幕规格匹配</x:v>
      </x:c>
      <x:c r="H89" s="9" t="str">
        <x:v>https://item.szlcsc.com/datasheet/1206W4F100JT5E/18591.html</x:v>
      </x:c>
    </x:row>
    <x:row r="90" ht="88" customHeight="1">
      <x:c r="A90" s="10" t="str">
        <x:v>R103</x:v>
      </x:c>
      <x:c r="B90" s="10" t="str">
        <x:v>0603WAF220JT5E</x:v>
      </x:c>
      <x:c r="C90" s="10" t="str">
        <x:v>C23345</x:v>
      </x:c>
      <x:c r="D90" s="10" t="str">
        <x:v>底面</x:v>
      </x:c>
      <x:c r="E90" s="10" t="str">
        <x:v>1=USB_DP_CONN; 2=USB_DP</x:v>
      </x:c>
      <x:c r="F90" s="10" t="str">
        <x:v>22Ω、100mW；逐脚核对拉阻、分压或信号串阻用途。低阻信号串阻不承担外部持续短路保护。</x:v>
      </x:c>
      <x:c r="G90" s="10" t="str">
        <x:v>设计核查完成；样机验证</x:v>
      </x:c>
      <x:c r="H90" s="10" t="str">
        <x:v>https://atta.szlcsc.com/upload/public/pdf/source/20200306/C422600_1E6D84923E4A46A82E41ADD87F860B5C.pdf</x:v>
      </x:c>
    </x:row>
    <x:row r="91" ht="88" customHeight="1">
      <x:c r="A91" s="9" t="str">
        <x:v>R104</x:v>
      </x:c>
      <x:c r="B91" s="9" t="str">
        <x:v>0603WAF220JT5E</x:v>
      </x:c>
      <x:c r="C91" s="9" t="str">
        <x:v>C23345</x:v>
      </x:c>
      <x:c r="D91" s="9" t="str">
        <x:v>底面</x:v>
      </x:c>
      <x:c r="E91" s="9" t="str">
        <x:v>1=USB_DM_CONN; 2=USB_DM</x:v>
      </x:c>
      <x:c r="F91" s="9" t="str">
        <x:v>22Ω、100mW；逐脚核对拉阻、分压或信号串阻用途。低阻信号串阻不承担外部持续短路保护。</x:v>
      </x:c>
      <x:c r="G91" s="9" t="str">
        <x:v>设计核查完成；样机验证</x:v>
      </x:c>
      <x:c r="H91" s="9" t="str">
        <x:v>https://atta.szlcsc.com/upload/public/pdf/source/20200306/C422600_1E6D84923E4A46A82E41ADD87F860B5C.pdf</x:v>
      </x:c>
    </x:row>
    <x:row r="92" ht="88" customHeight="1">
      <x:c r="A92" s="10" t="str">
        <x:v>R105</x:v>
      </x:c>
      <x:c r="B92" s="10" t="str">
        <x:v>0603WAF1003T5E</x:v>
      </x:c>
      <x:c r="C92" s="10" t="str">
        <x:v>C25803</x:v>
      </x:c>
      <x:c r="D92" s="10" t="str">
        <x:v>底面</x:v>
      </x:c>
      <x:c r="E92" s="10" t="str">
        <x:v>1=USB_VBUS; 2=USB_DETECT_GATE</x:v>
      </x:c>
      <x:c r="F92" s="10" t="str">
        <x:v>100kΩ、100mW；逐脚核对拉阻、分压或信号串阻用途。按两端5.5V、阻值-1%的保守静态界限，功耗不超过0.306mW。</x:v>
      </x:c>
      <x:c r="G92" s="10" t="str">
        <x:v>设计核查完成；样机验证</x:v>
      </x:c>
      <x:c r="H92" s="10" t="str">
        <x:v>https://item.szlcsc.com/datasheet/0603WAF1003T5E/26546.html</x:v>
      </x:c>
    </x:row>
    <x:row r="93" ht="88" customHeight="1">
      <x:c r="A93" s="9" t="str">
        <x:v>R106</x:v>
      </x:c>
      <x:c r="B93" s="9" t="str">
        <x:v>0603WAF1003T5E</x:v>
      </x:c>
      <x:c r="C93" s="9" t="str">
        <x:v>C25803</x:v>
      </x:c>
      <x:c r="D93" s="9" t="str">
        <x:v>底面</x:v>
      </x:c>
      <x:c r="E93" s="9" t="str">
        <x:v>1=USB_DETECT_GATE; 2=GND</x:v>
      </x:c>
      <x:c r="F93" s="9" t="str">
        <x:v>100kΩ、100mW；逐脚核对拉阻、分压或信号串阻用途。按两端5.5V、阻值-1%的保守静态界限，功耗不超过0.306mW。</x:v>
      </x:c>
      <x:c r="G93" s="9" t="str">
        <x:v>设计核查完成；样机验证</x:v>
      </x:c>
      <x:c r="H93" s="9" t="str">
        <x:v>https://item.szlcsc.com/datasheet/0603WAF1003T5E/26546.html</x:v>
      </x:c>
    </x:row>
    <x:row r="94" ht="88" customHeight="1">
      <x:c r="A94" s="10" t="str">
        <x:v>R107</x:v>
      </x:c>
      <x:c r="B94" s="10" t="str">
        <x:v>0603WAF1002T5E</x:v>
      </x:c>
      <x:c r="C94" s="10" t="str">
        <x:v>C25804</x:v>
      </x:c>
      <x:c r="D94" s="10" t="str">
        <x:v>底面</x:v>
      </x:c>
      <x:c r="E94" s="10" t="str">
        <x:v>1=+3V3; 2=USB_PRESENT_N</x:v>
      </x:c>
      <x:c r="F94" s="10" t="str">
        <x:v>10kΩ、100mW；逐脚核对拉阻、分压或信号串阻用途。按两端5.5V、阻值-1%的保守静态界限，功耗不超过3.06mW。</x:v>
      </x:c>
      <x:c r="G94" s="10" t="str">
        <x:v>设计核查完成；样机验证</x:v>
      </x:c>
      <x:c r="H94" s="10" t="str">
        <x:v>https://item.szlcsc.com/datasheet/0603WAF1002T5E/26547.html</x:v>
      </x:c>
    </x:row>
    <x:row r="95" ht="88" customHeight="1">
      <x:c r="A95" s="9" t="str">
        <x:v>R108</x:v>
      </x:c>
      <x:c r="B95" s="9" t="str">
        <x:v>0603WAF1002T5E</x:v>
      </x:c>
      <x:c r="C95" s="9" t="str">
        <x:v>C25804</x:v>
      </x:c>
      <x:c r="D95" s="9" t="str">
        <x:v>底面</x:v>
      </x:c>
      <x:c r="E95" s="9" t="str">
        <x:v>1=GND; 2=CHG_CE_N</x:v>
      </x:c>
      <x:c r="F95" s="9" t="str">
        <x:v>10kΩ、100mW；逐脚核对拉阻、分压或信号串阻用途。按两端5.5V、阻值-1%的保守静态界限，功耗不超过3.06mW。</x:v>
      </x:c>
      <x:c r="G95" s="9" t="str">
        <x:v>设计核查完成；样机验证</x:v>
      </x:c>
      <x:c r="H95" s="9" t="str">
        <x:v>https://item.szlcsc.com/datasheet/0603WAF1002T5E/26547.html</x:v>
      </x:c>
    </x:row>
    <x:row r="96" ht="88" customHeight="1">
      <x:c r="A96" s="10" t="str">
        <x:v>R109</x:v>
      </x:c>
      <x:c r="B96" s="10" t="str">
        <x:v>0603WAF1003T5E</x:v>
      </x:c>
      <x:c r="C96" s="10" t="str">
        <x:v>C25803</x:v>
      </x:c>
      <x:c r="D96" s="10" t="str">
        <x:v>底面</x:v>
      </x:c>
      <x:c r="E96" s="10" t="str">
        <x:v>1=CHG_EN2; 2=GND</x:v>
      </x:c>
      <x:c r="F96" s="10" t="str">
        <x:v>100kΩ、100mW；逐脚核对拉阻、分压或信号串阻用途。按两端5.5V、阻值-1%的保守静态界限，功耗不超过0.306mW。</x:v>
      </x:c>
      <x:c r="G96" s="10" t="str">
        <x:v>设计核查完成；样机验证</x:v>
      </x:c>
      <x:c r="H96" s="10" t="str">
        <x:v>https://item.szlcsc.com/datasheet/0603WAF1003T5E/26546.html</x:v>
      </x:c>
    </x:row>
    <x:row r="97" ht="88" customHeight="1">
      <x:c r="A97" s="9" t="str">
        <x:v>R110</x:v>
      </x:c>
      <x:c r="B97" s="9" t="str">
        <x:v>0603WAF1181T5E</x:v>
      </x:c>
      <x:c r="C97" s="9" t="str">
        <x:v>C22763</x:v>
      </x:c>
      <x:c r="D97" s="9" t="str">
        <x:v>底面</x:v>
      </x:c>
      <x:c r="E97" s="9" t="str">
        <x:v>1=CHG_ILIM; 2=GND</x:v>
      </x:c>
      <x:c r="F97" s="9" t="str">
        <x:v>1.18kΩ：BQ24075输入限流约1.36A，容差边界约1.472A；须配合Type-C广告判断。</x:v>
      </x:c>
      <x:c r="G97" s="9" t="str">
        <x:v>设计核查完成；样机验证</x:v>
      </x:c>
      <x:c r="H97" s="9" t="str">
        <x:v>https://item.szlcsc.com/datasheet/0603WAF1181T5E/23490.html</x:v>
      </x:c>
    </x:row>
    <x:row r="98" ht="88" customHeight="1">
      <x:c r="A98" s="10" t="str">
        <x:v>R111</x:v>
      </x:c>
      <x:c r="B98" s="10" t="str">
        <x:v>0603WAF1001T5E</x:v>
      </x:c>
      <x:c r="C98" s="10" t="str">
        <x:v>C21190</x:v>
      </x:c>
      <x:c r="D98" s="10" t="str">
        <x:v>底面</x:v>
      </x:c>
      <x:c r="E98" s="10" t="str">
        <x:v>1=CHG_ISET; 2=GND</x:v>
      </x:c>
      <x:c r="F98" s="10" t="str">
        <x:v>1kΩ：充电电流典型约0.89A、上界约0.985A；电池需允许此充电电流。</x:v>
      </x:c>
      <x:c r="G98" s="10" t="str">
        <x:v>设计核查完成；样机验证</x:v>
      </x:c>
      <x:c r="H98" s="10" t="str">
        <x:v>https://item.szlcsc.com/datasheet/0603WAF1001T5E/21904.html</x:v>
      </x:c>
    </x:row>
    <x:row r="99" ht="88" customHeight="1">
      <x:c r="A99" s="9" t="str">
        <x:v>R112</x:v>
      </x:c>
      <x:c r="B99" s="9" t="str">
        <x:v>0603WAF6982T5E</x:v>
      </x:c>
      <x:c r="C99" s="9" t="str">
        <x:v>C23098</x:v>
      </x:c>
      <x:c r="D99" s="9" t="str">
        <x:v>底面</x:v>
      </x:c>
      <x:c r="E99" s="9" t="str">
        <x:v>1=CHG_TMR; 2=GND</x:v>
      </x:c>
      <x:c r="F99" s="9" t="str">
        <x:v>69.8kΩ充电计时电阻；保留安全计时功能。</x:v>
      </x:c>
      <x:c r="G99" s="9" t="str">
        <x:v>设计核查完成；样机验证</x:v>
      </x:c>
      <x:c r="H99" s="9" t="str">
        <x:v>https://item.szlcsc.com/datasheet/0603WAF6982T5E/23825.html</x:v>
      </x:c>
    </x:row>
    <x:row r="100" ht="88" customHeight="1">
      <x:c r="A100" s="10" t="str">
        <x:v>R113</x:v>
      </x:c>
      <x:c r="B100" s="10" t="str">
        <x:v>0603WAF1002T5E</x:v>
      </x:c>
      <x:c r="C100" s="10" t="str">
        <x:v>C25804</x:v>
      </x:c>
      <x:c r="D100" s="10" t="str">
        <x:v>底面</x:v>
      </x:c>
      <x:c r="E100" s="10" t="str">
        <x:v>1=CHG_SYSOFF; 2=GND</x:v>
      </x:c>
      <x:c r="F100" s="10" t="str">
        <x:v>10kΩ、100mW；逐脚核对拉阻、分压或信号串阻用途。按两端5.5V、阻值-1%的保守静态界限，功耗不超过3.06mW。</x:v>
      </x:c>
      <x:c r="G100" s="10" t="str">
        <x:v>设计核查完成；样机验证</x:v>
      </x:c>
      <x:c r="H100" s="10" t="str">
        <x:v>https://item.szlcsc.com/datasheet/0603WAF1002T5E/26547.html</x:v>
      </x:c>
    </x:row>
    <x:row r="101" ht="88" customHeight="1">
      <x:c r="A101" s="9" t="str">
        <x:v>R114</x:v>
      </x:c>
      <x:c r="B101" s="9" t="str">
        <x:v>0603WAF1002T5E</x:v>
      </x:c>
      <x:c r="C101" s="9" t="str">
        <x:v>C25804</x:v>
      </x:c>
      <x:c r="D101" s="9" t="str">
        <x:v>底面</x:v>
      </x:c>
      <x:c r="E101" s="9" t="str">
        <x:v>1=+3V3; 2=CHG_N</x:v>
      </x:c>
      <x:c r="F101" s="9" t="str">
        <x:v>10kΩ、100mW；逐脚核对拉阻、分压或信号串阻用途。按两端5.5V、阻值-1%的保守静态界限，功耗不超过3.06mW。</x:v>
      </x:c>
      <x:c r="G101" s="9" t="str">
        <x:v>设计核查完成；样机验证</x:v>
      </x:c>
      <x:c r="H101" s="9" t="str">
        <x:v>https://item.szlcsc.com/datasheet/0603WAF1002T5E/26547.html</x:v>
      </x:c>
    </x:row>
    <x:row r="102" ht="88" customHeight="1">
      <x:c r="A102" s="10" t="str">
        <x:v>R115</x:v>
      </x:c>
      <x:c r="B102" s="10" t="str">
        <x:v>0603WAF1002T5E</x:v>
      </x:c>
      <x:c r="C102" s="10" t="str">
        <x:v>C25804</x:v>
      </x:c>
      <x:c r="D102" s="10" t="str">
        <x:v>底面</x:v>
      </x:c>
      <x:c r="E102" s="10" t="str">
        <x:v>1=+3V3; 2=PGOOD_N</x:v>
      </x:c>
      <x:c r="F102" s="10" t="str">
        <x:v>10kΩ、100mW；逐脚核对拉阻、分压或信号串阻用途。按两端5.5V、阻值-1%的保守静态界限，功耗不超过3.06mW。</x:v>
      </x:c>
      <x:c r="G102" s="10" t="str">
        <x:v>设计核查完成；样机验证</x:v>
      </x:c>
      <x:c r="H102" s="10" t="str">
        <x:v>https://item.szlcsc.com/datasheet/0603WAF1002T5E/26547.html</x:v>
      </x:c>
    </x:row>
    <x:row r="103" ht="88" customHeight="1">
      <x:c r="A103" s="9" t="str">
        <x:v>R116</x:v>
      </x:c>
      <x:c r="B103" s="9" t="str">
        <x:v>0603WAF1003T5E</x:v>
      </x:c>
      <x:c r="C103" s="9" t="str">
        <x:v>C25803</x:v>
      </x:c>
      <x:c r="D103" s="9" t="str">
        <x:v>底面</x:v>
      </x:c>
      <x:c r="E103" s="9" t="str">
        <x:v>1=MAIN_IN; 2=BUCK_EN</x:v>
      </x:c>
      <x:c r="F103" s="9" t="str">
        <x:v>100kΩ、100mW；逐脚核对拉阻、分压或信号串阻用途。按两端5.5V、阻值-1%的保守静态界限，功耗不超过0.306mW。</x:v>
      </x:c>
      <x:c r="G103" s="9" t="str">
        <x:v>设计核查完成；样机验证</x:v>
      </x:c>
      <x:c r="H103" s="9" t="str">
        <x:v>https://item.szlcsc.com/datasheet/0603WAF1003T5E/26546.html</x:v>
      </x:c>
    </x:row>
    <x:row r="104" ht="88" customHeight="1">
      <x:c r="A104" s="10" t="str">
        <x:v>R117</x:v>
      </x:c>
      <x:c r="B104" s="10" t="str">
        <x:v>RT0603BRD07560KL</x:v>
      </x:c>
      <x:c r="C104" s="10" t="str">
        <x:v>C719312</x:v>
      </x:c>
      <x:c r="D104" s="10" t="str">
        <x:v>底面</x:v>
      </x:c>
      <x:c r="E104" s="10" t="str">
        <x:v>1=+3V3; 2=BUCK_FB</x:v>
      </x:c>
      <x:c r="F104" s="10" t="str">
        <x:v>560kΩ精密反馈上臂，与R118的100kΩ设置3.3V。</x:v>
      </x:c>
      <x:c r="G104" s="10" t="str">
        <x:v>设计核查完成；样机验证</x:v>
      </x:c>
      <x:c r="H104" s="10" t="str">
        <x:v>https://atta.szlcsc.com/upload/public/pdf/source/20200610/C326738_5639A9F1B6EB6E4AE2197577D3456E7F.pdf</x:v>
      </x:c>
    </x:row>
    <x:row r="105" ht="88" customHeight="1">
      <x:c r="A105" s="9" t="str">
        <x:v>R118</x:v>
      </x:c>
      <x:c r="B105" s="9" t="str">
        <x:v>RT0603BRD07100KL</x:v>
      </x:c>
      <x:c r="C105" s="9" t="str">
        <x:v>C122538</x:v>
      </x:c>
      <x:c r="D105" s="9" t="str">
        <x:v>底面</x:v>
      </x:c>
      <x:c r="E105" s="9" t="str">
        <x:v>1=BUCK_FB; 2=GND</x:v>
      </x:c>
      <x:c r="F105" s="9" t="str">
        <x:v>100kΩ精密反馈下臂，接安静地，避开电感开关节点。</x:v>
      </x:c>
      <x:c r="G105" s="9" t="str">
        <x:v>设计核查完成；样机验证</x:v>
      </x:c>
      <x:c r="H105" s="9" t="str">
        <x:v>https://atta.szlcsc.com/upload/public/pdf/source/20170721/C122538_1500619326323834092.pdf</x:v>
      </x:c>
    </x:row>
    <x:row r="106" ht="88" customHeight="1">
      <x:c r="A106" s="10" t="str">
        <x:v>R119</x:v>
      </x:c>
      <x:c r="B106" s="10" t="str">
        <x:v>0603WAF1001T5E</x:v>
      </x:c>
      <x:c r="C106" s="10" t="str">
        <x:v>C21190</x:v>
      </x:c>
      <x:c r="D106" s="10" t="str">
        <x:v>底面</x:v>
      </x:c>
      <x:c r="E106" s="10" t="str">
        <x:v>1=BOOST_EN; 2=BOOST_ENABLE</x:v>
      </x:c>
      <x:c r="F106" s="10" t="str">
        <x:v>1kΩ、100mW；逐脚核对拉阻、分压或信号串阻用途。按两端5.5V、阻值-1%的保守静态界限，功耗不超过30.6mW。</x:v>
      </x:c>
      <x:c r="G106" s="10" t="str">
        <x:v>设计核查完成；样机验证</x:v>
      </x:c>
      <x:c r="H106" s="10" t="str">
        <x:v>https://item.szlcsc.com/datasheet/0603WAF1001T5E/21904.html</x:v>
      </x:c>
    </x:row>
    <x:row r="107" ht="88" customHeight="1">
      <x:c r="A107" s="9" t="str">
        <x:v>R120</x:v>
      </x:c>
      <x:c r="B107" s="9" t="str">
        <x:v>0603WAF1003T5E</x:v>
      </x:c>
      <x:c r="C107" s="9" t="str">
        <x:v>C25803</x:v>
      </x:c>
      <x:c r="D107" s="9" t="str">
        <x:v>底面</x:v>
      </x:c>
      <x:c r="E107" s="9" t="str">
        <x:v>1=BOOST_ENABLE; 2=GND</x:v>
      </x:c>
      <x:c r="F107" s="9" t="str">
        <x:v>100kΩ、100mW；逐脚核对拉阻、分压或信号串阻用途。按两端5.5V、阻值-1%的保守静态界限，功耗不超过0.306mW。</x:v>
      </x:c>
      <x:c r="G107" s="9" t="str">
        <x:v>设计核查完成；样机验证</x:v>
      </x:c>
      <x:c r="H107" s="9" t="str">
        <x:v>https://item.szlcsc.com/datasheet/0603WAF1003T5E/26546.html</x:v>
      </x:c>
    </x:row>
    <x:row r="108" ht="88" customHeight="1">
      <x:c r="A108" s="10" t="str">
        <x:v>R121</x:v>
      </x:c>
      <x:c r="B108" s="10" t="str">
        <x:v>0603WAF7323T5E</x:v>
      </x:c>
      <x:c r="C108" s="10" t="str">
        <x:v>C23239</x:v>
      </x:c>
      <x:c r="D108" s="10" t="str">
        <x:v>底面</x:v>
      </x:c>
      <x:c r="E108" s="10" t="str">
        <x:v>1=BOOST_5V; 2=BOOST_FB</x:v>
      </x:c>
      <x:c r="F108" s="10" t="str">
        <x:v>732kΩ升压反馈上臂，与100kΩ下臂设置约5V。</x:v>
      </x:c>
      <x:c r="G108" s="10" t="str">
        <x:v>设计核查完成；样机验证</x:v>
      </x:c>
      <x:c r="H108" s="10" t="str">
        <x:v>https://item.szlcsc.com/datasheet/0603WAF7323T5E/23966.html</x:v>
      </x:c>
    </x:row>
    <x:row r="109" ht="88" customHeight="1">
      <x:c r="A109" s="9" t="str">
        <x:v>R122</x:v>
      </x:c>
      <x:c r="B109" s="9" t="str">
        <x:v>0603WAF1003T5E</x:v>
      </x:c>
      <x:c r="C109" s="9" t="str">
        <x:v>C25803</x:v>
      </x:c>
      <x:c r="D109" s="9" t="str">
        <x:v>底面</x:v>
      </x:c>
      <x:c r="E109" s="9" t="str">
        <x:v>1=BOOST_FB; 2=GND</x:v>
      </x:c>
      <x:c r="F109" s="9" t="str">
        <x:v>100kΩ、100mW；逐脚核对拉阻、分压或信号串阻用途。按两端5.5V、阻值-1%的保守静态界限，功耗不超过0.306mW。</x:v>
      </x:c>
      <x:c r="G109" s="9" t="str">
        <x:v>设计核查完成；样机验证</x:v>
      </x:c>
      <x:c r="H109" s="9" t="str">
        <x:v>https://item.szlcsc.com/datasheet/0603WAF1003T5E/26546.html</x:v>
      </x:c>
    </x:row>
    <x:row r="110" ht="88" customHeight="1">
      <x:c r="A110" s="10" t="str">
        <x:v>R123</x:v>
      </x:c>
      <x:c r="B110" s="10" t="str">
        <x:v>0603WAF1003T5E</x:v>
      </x:c>
      <x:c r="C110" s="10" t="str">
        <x:v>C25803</x:v>
      </x:c>
      <x:c r="D110" s="10" t="str">
        <x:v>底面</x:v>
      </x:c>
      <x:c r="E110" s="10" t="str">
        <x:v>1=VBAT_PROT; 2=BAT_SENSE_GATE</x:v>
      </x:c>
      <x:c r="F110" s="10" t="str">
        <x:v>100kΩ、100mW；逐脚核对拉阻、分压或信号串阻用途。按两端5.5V、阻值-1%的保守静态界限，功耗不超过0.306mW。</x:v>
      </x:c>
      <x:c r="G110" s="10" t="str">
        <x:v>设计核查完成；样机验证</x:v>
      </x:c>
      <x:c r="H110" s="10" t="str">
        <x:v>https://item.szlcsc.com/datasheet/0603WAF1003T5E/26546.html</x:v>
      </x:c>
    </x:row>
    <x:row r="111" ht="88" customHeight="1">
      <x:c r="A111" s="9" t="str">
        <x:v>R124</x:v>
      </x:c>
      <x:c r="B111" s="9" t="str">
        <x:v>0603WAF1003T5E</x:v>
      </x:c>
      <x:c r="C111" s="9" t="str">
        <x:v>C25803</x:v>
      </x:c>
      <x:c r="D111" s="9" t="str">
        <x:v>底面</x:v>
      </x:c>
      <x:c r="E111" s="9" t="str">
        <x:v>1=VBAT_SENSE_ON; 2=BAT_ADC</x:v>
      </x:c>
      <x:c r="F111" s="9" t="str">
        <x:v>100kΩ、100mW；逐脚核对拉阻、分压或信号串阻用途。按两端5.5V、阻值-1%的保守静态界限，功耗不超过0.306mW。</x:v>
      </x:c>
      <x:c r="G111" s="9" t="str">
        <x:v>设计核查完成；样机验证</x:v>
      </x:c>
      <x:c r="H111" s="9" t="str">
        <x:v>https://item.szlcsc.com/datasheet/0603WAF1003T5E/26546.html</x:v>
      </x:c>
    </x:row>
    <x:row r="112" ht="88" customHeight="1">
      <x:c r="A112" s="10" t="str">
        <x:v>R125</x:v>
      </x:c>
      <x:c r="B112" s="10" t="str">
        <x:v>0603WAF1003T5E</x:v>
      </x:c>
      <x:c r="C112" s="10" t="str">
        <x:v>C25803</x:v>
      </x:c>
      <x:c r="D112" s="10" t="str">
        <x:v>底面</x:v>
      </x:c>
      <x:c r="E112" s="10" t="str">
        <x:v>1=BAT_ADC; 2=GND</x:v>
      </x:c>
      <x:c r="F112" s="10" t="str">
        <x:v>100kΩ、100mW；逐脚核对拉阻、分压或信号串阻用途。按两端5.5V、阻值-1%的保守静态界限，功耗不超过0.306mW。</x:v>
      </x:c>
      <x:c r="G112" s="10" t="str">
        <x:v>设计核查完成；样机验证</x:v>
      </x:c>
      <x:c r="H112" s="10" t="str">
        <x:v>https://item.szlcsc.com/datasheet/0603WAF1003T5E/26546.html</x:v>
      </x:c>
    </x:row>
    <x:row r="113" ht="88" customHeight="1">
      <x:c r="A113" s="9" t="str">
        <x:v>R126</x:v>
      </x:c>
      <x:c r="B113" s="9" t="str">
        <x:v>0603WAF1003T5E</x:v>
      </x:c>
      <x:c r="C113" s="9" t="str">
        <x:v>C25803</x:v>
      </x:c>
      <x:c r="D113" s="9" t="str">
        <x:v>底面</x:v>
      </x:c>
      <x:c r="E113" s="9" t="str">
        <x:v>1=+3V3; 2=GND</x:v>
      </x:c>
      <x:c r="F113" s="9" t="str">
        <x:v>100kΩ、100mW；逐脚核对拉阻、分压或信号串阻用途。按两端5.5V、阻值-1%的保守静态界限，功耗不超过0.306mW。</x:v>
      </x:c>
      <x:c r="G113" s="9" t="str">
        <x:v>设计核查完成；样机验证</x:v>
      </x:c>
      <x:c r="H113" s="9" t="str">
        <x:v>https://item.szlcsc.com/datasheet/0603WAF1003T5E/26546.html</x:v>
      </x:c>
    </x:row>
    <x:row r="114" ht="88" customHeight="1">
      <x:c r="A114" s="10" t="str">
        <x:v>R129</x:v>
      </x:c>
      <x:c r="B114" s="10" t="str">
        <x:v>0603WAF1001T5E</x:v>
      </x:c>
      <x:c r="C114" s="10" t="str">
        <x:v>C21190</x:v>
      </x:c>
      <x:c r="D114" s="10" t="str">
        <x:v>底面</x:v>
      </x:c>
      <x:c r="E114" s="10" t="str">
        <x:v>1=TOUCH_CS1; 2=ELE0</x:v>
      </x:c>
      <x:c r="F114" s="10" t="str">
        <x:v>1kΩ、100mW；逐脚核对拉阻、分压或信号串阻用途。按两端5.5V、阻值-1%的保守静态界限，功耗不超过30.6mW。</x:v>
      </x:c>
      <x:c r="G114" s="10" t="str">
        <x:v>设计核查完成；样机验证</x:v>
      </x:c>
      <x:c r="H114" s="10" t="str">
        <x:v>https://item.szlcsc.com/datasheet/0603WAF1001T5E/21904.html</x:v>
      </x:c>
    </x:row>
    <x:row r="115" ht="88" customHeight="1">
      <x:c r="A115" s="9" t="str">
        <x:v>R130</x:v>
      </x:c>
      <x:c r="B115" s="9" t="str">
        <x:v>0603WAF1001T5E</x:v>
      </x:c>
      <x:c r="C115" s="9" t="str">
        <x:v>C21190</x:v>
      </x:c>
      <x:c r="D115" s="9" t="str">
        <x:v>底面</x:v>
      </x:c>
      <x:c r="E115" s="9" t="str">
        <x:v>1=TOUCH_CS2; 2=ELE1</x:v>
      </x:c>
      <x:c r="F115" s="9" t="str">
        <x:v>1kΩ、100mW；逐脚核对拉阻、分压或信号串阻用途。按两端5.5V、阻值-1%的保守静态界限，功耗不超过30.6mW。</x:v>
      </x:c>
      <x:c r="G115" s="9" t="str">
        <x:v>设计核查完成；样机验证</x:v>
      </x:c>
      <x:c r="H115" s="9" t="str">
        <x:v>https://item.szlcsc.com/datasheet/0603WAF1001T5E/21904.html</x:v>
      </x:c>
    </x:row>
    <x:row r="116" ht="88" customHeight="1">
      <x:c r="A116" s="10" t="str">
        <x:v>R131</x:v>
      </x:c>
      <x:c r="B116" s="10" t="str">
        <x:v>0603WAF1001T5E</x:v>
      </x:c>
      <x:c r="C116" s="10" t="str">
        <x:v>C21190</x:v>
      </x:c>
      <x:c r="D116" s="10" t="str">
        <x:v>底面</x:v>
      </x:c>
      <x:c r="E116" s="10" t="str">
        <x:v>1=TOUCH_CS3; 2=ELE2</x:v>
      </x:c>
      <x:c r="F116" s="10" t="str">
        <x:v>1kΩ、100mW；逐脚核对拉阻、分压或信号串阻用途。按两端5.5V、阻值-1%的保守静态界限，功耗不超过30.6mW。</x:v>
      </x:c>
      <x:c r="G116" s="10" t="str">
        <x:v>设计核查完成；样机验证</x:v>
      </x:c>
      <x:c r="H116" s="10" t="str">
        <x:v>https://item.szlcsc.com/datasheet/0603WAF1001T5E/21904.html</x:v>
      </x:c>
    </x:row>
    <x:row r="117" ht="88" customHeight="1">
      <x:c r="A117" s="9" t="str">
        <x:v>R132</x:v>
      </x:c>
      <x:c r="B117" s="9" t="str">
        <x:v>0603WAF1001T5E</x:v>
      </x:c>
      <x:c r="C117" s="9" t="str">
        <x:v>C21190</x:v>
      </x:c>
      <x:c r="D117" s="9" t="str">
        <x:v>底面</x:v>
      </x:c>
      <x:c r="E117" s="9" t="str">
        <x:v>1=TOUCH_CS4; 2=ELE3</x:v>
      </x:c>
      <x:c r="F117" s="9" t="str">
        <x:v>1kΩ、100mW；逐脚核对拉阻、分压或信号串阻用途。按两端5.5V、阻值-1%的保守静态界限，功耗不超过30.6mW。</x:v>
      </x:c>
      <x:c r="G117" s="9" t="str">
        <x:v>设计核查完成；样机验证</x:v>
      </x:c>
      <x:c r="H117" s="9" t="str">
        <x:v>https://item.szlcsc.com/datasheet/0603WAF1001T5E/21904.html</x:v>
      </x:c>
    </x:row>
    <x:row r="118" ht="88" customHeight="1">
      <x:c r="A118" s="10" t="str">
        <x:v>R133</x:v>
      </x:c>
      <x:c r="B118" s="10" t="str">
        <x:v>0603WAF1001T5E</x:v>
      </x:c>
      <x:c r="C118" s="10" t="str">
        <x:v>C21190</x:v>
      </x:c>
      <x:c r="D118" s="10" t="str">
        <x:v>底面</x:v>
      </x:c>
      <x:c r="E118" s="10" t="str">
        <x:v>1=TOUCH_CS5; 2=ELE4</x:v>
      </x:c>
      <x:c r="F118" s="10" t="str">
        <x:v>1kΩ、100mW；逐脚核对拉阻、分压或信号串阻用途。按两端5.5V、阻值-1%的保守静态界限，功耗不超过30.6mW。</x:v>
      </x:c>
      <x:c r="G118" s="10" t="str">
        <x:v>设计核查完成；样机验证</x:v>
      </x:c>
      <x:c r="H118" s="10" t="str">
        <x:v>https://item.szlcsc.com/datasheet/0603WAF1001T5E/21904.html</x:v>
      </x:c>
    </x:row>
    <x:row r="119" ht="88" customHeight="1">
      <x:c r="A119" s="9" t="str">
        <x:v>R134</x:v>
      </x:c>
      <x:c r="B119" s="9" t="str">
        <x:v>0603WAF1001T5E</x:v>
      </x:c>
      <x:c r="C119" s="9" t="str">
        <x:v>C21190</x:v>
      </x:c>
      <x:c r="D119" s="9" t="str">
        <x:v>底面</x:v>
      </x:c>
      <x:c r="E119" s="9" t="str">
        <x:v>1=TOUCH_CS6; 2=ELE5</x:v>
      </x:c>
      <x:c r="F119" s="9" t="str">
        <x:v>1kΩ、100mW；逐脚核对拉阻、分压或信号串阻用途。按两端5.5V、阻值-1%的保守静态界限，功耗不超过30.6mW。</x:v>
      </x:c>
      <x:c r="G119" s="9" t="str">
        <x:v>设计核查完成；样机验证</x:v>
      </x:c>
      <x:c r="H119" s="9" t="str">
        <x:v>https://item.szlcsc.com/datasheet/0603WAF1001T5E/21904.html</x:v>
      </x:c>
    </x:row>
    <x:row r="120" ht="88" customHeight="1">
      <x:c r="A120" s="10" t="str">
        <x:v>R135</x:v>
      </x:c>
      <x:c r="B120" s="10" t="str">
        <x:v>0603WAF1001T5E</x:v>
      </x:c>
      <x:c r="C120" s="10" t="str">
        <x:v>C21190</x:v>
      </x:c>
      <x:c r="D120" s="10" t="str">
        <x:v>底面</x:v>
      </x:c>
      <x:c r="E120" s="10" t="str">
        <x:v>1=HAPTIC_ENABLE; 2=HAPTIC_EN</x:v>
      </x:c>
      <x:c r="F120" s="10" t="str">
        <x:v>1kΩ、100mW；逐脚核对拉阻、分压或信号串阻用途。按两端5.5V、阻值-1%的保守静态界限，功耗不超过30.6mW。</x:v>
      </x:c>
      <x:c r="G120" s="10" t="str">
        <x:v>设计核查完成；样机验证</x:v>
      </x:c>
      <x:c r="H120" s="10" t="str">
        <x:v>https://item.szlcsc.com/datasheet/0603WAF1001T5E/21904.html</x:v>
      </x:c>
    </x:row>
    <x:row r="121" ht="88" customHeight="1">
      <x:c r="A121" s="9" t="str">
        <x:v>R136</x:v>
      </x:c>
      <x:c r="B121" s="9" t="str">
        <x:v>0603WAF1003T5E</x:v>
      </x:c>
      <x:c r="C121" s="9" t="str">
        <x:v>C25803</x:v>
      </x:c>
      <x:c r="D121" s="9" t="str">
        <x:v>底面</x:v>
      </x:c>
      <x:c r="E121" s="9" t="str">
        <x:v>1=HAPTIC_EN; 2=GND</x:v>
      </x:c>
      <x:c r="F121" s="9" t="str">
        <x:v>100kΩ、100mW；逐脚核对拉阻、分压或信号串阻用途。按两端5.5V、阻值-1%的保守静态界限，功耗不超过0.306mW。</x:v>
      </x:c>
      <x:c r="G121" s="9" t="str">
        <x:v>设计核查完成；样机验证</x:v>
      </x:c>
      <x:c r="H121" s="9" t="str">
        <x:v>https://item.szlcsc.com/datasheet/0603WAF1003T5E/26546.html</x:v>
      </x:c>
    </x:row>
    <x:row r="122" ht="88" customHeight="1">
      <x:c r="A122" s="10" t="str">
        <x:v>R137</x:v>
      </x:c>
      <x:c r="B122" s="10" t="str">
        <x:v>0603WAF8873T5E</x:v>
      </x:c>
      <x:c r="C122" s="10" t="str">
        <x:v>C23259</x:v>
      </x:c>
      <x:c r="D122" s="10" t="str">
        <x:v>顶面</x:v>
      </x:c>
      <x:c r="E122" s="10" t="str">
        <x:v>1=USB_5V_FUSED; 2=USB_CC_VBUS_DET</x:v>
      </x:c>
      <x:c r="F122" s="10" t="str">
        <x:v>887kΩ Type-C VBUS检测串阻，阻值与TUSB320LAI推荐电路一致。</x:v>
      </x:c>
      <x:c r="G122" s="10" t="str">
        <x:v>设计核查完成；样机验证</x:v>
      </x:c>
      <x:c r="H122" s="10" t="str">
        <x:v>https://item.szlcsc.com/datasheet/0603WAF8873T5E/23986.html</x:v>
      </x:c>
    </x:row>
    <x:row r="123" ht="88" customHeight="1">
      <x:c r="A123" s="9" t="str">
        <x:v>R138</x:v>
      </x:c>
      <x:c r="B123" s="9" t="str">
        <x:v>0603WAF1002T5E</x:v>
      </x:c>
      <x:c r="C123" s="9" t="str">
        <x:v>C25804</x:v>
      </x:c>
      <x:c r="D123" s="9" t="str">
        <x:v>顶面</x:v>
      </x:c>
      <x:c r="E123" s="9" t="str">
        <x:v>1=USB_CC_3V3; 2=USB_HIGH_CURRENT_N</x:v>
      </x:c>
      <x:c r="F123" s="9" t="str">
        <x:v>10kΩ、100mW；逐脚核对拉阻、分压或信号串阻用途。按两端5.5V、阻值-1%的保守静态界限，功耗不超过3.06mW。</x:v>
      </x:c>
      <x:c r="G123" s="9" t="str">
        <x:v>设计核查完成；样机验证</x:v>
      </x:c>
      <x:c r="H123" s="9" t="str">
        <x:v>https://item.szlcsc.com/datasheet/0603WAF1002T5E/26547.html</x:v>
      </x:c>
    </x:row>
    <x:row r="124" ht="88" customHeight="1">
      <x:c r="A124" s="10" t="str">
        <x:v>R307</x:v>
      </x:c>
      <x:c r="B124" s="10" t="str">
        <x:v>0603WAF4701T5E</x:v>
      </x:c>
      <x:c r="C124" s="10" t="str">
        <x:v>C23162</x:v>
      </x:c>
      <x:c r="D124" s="10" t="str">
        <x:v>顶面</x:v>
      </x:c>
      <x:c r="E124" s="10" t="str">
        <x:v>1=+3V3; 2=ACC_SCL_MCU</x:v>
      </x:c>
      <x:c r="F124" s="10" t="str">
        <x:v>4.7kΩ、100mW；逐脚核对拉阻、分压或信号串阻用途。按两端5.5V、阻值-1%的保守静态界限，功耗不超过6.5mW。</x:v>
      </x:c>
      <x:c r="G124" s="10" t="str">
        <x:v>设计核查完成；样机验证</x:v>
      </x:c>
      <x:c r="H124" s="10" t="str">
        <x:v>https://item.szlcsc.com/datasheet/0603WAF4701T5E/23889.html</x:v>
      </x:c>
    </x:row>
    <x:row r="125" ht="88" customHeight="1">
      <x:c r="A125" s="9" t="str">
        <x:v>R308</x:v>
      </x:c>
      <x:c r="B125" s="9" t="str">
        <x:v>0603WAF4701T5E</x:v>
      </x:c>
      <x:c r="C125" s="9" t="str">
        <x:v>C23162</x:v>
      </x:c>
      <x:c r="D125" s="9" t="str">
        <x:v>顶面</x:v>
      </x:c>
      <x:c r="E125" s="9" t="str">
        <x:v>1=+3V3; 2=ACC_SDA_MCU</x:v>
      </x:c>
      <x:c r="F125" s="9" t="str">
        <x:v>4.7kΩ、100mW；逐脚核对拉阻、分压或信号串阻用途。按两端5.5V、阻值-1%的保守静态界限，功耗不超过6.5mW。</x:v>
      </x:c>
      <x:c r="G125" s="9" t="str">
        <x:v>设计核查完成；样机验证</x:v>
      </x:c>
      <x:c r="H125" s="9" t="str">
        <x:v>https://item.szlcsc.com/datasheet/0603WAF4701T5E/23889.html</x:v>
      </x:c>
    </x:row>
    <x:row r="126" ht="88" customHeight="1">
      <x:c r="A126" s="10" t="str">
        <x:v>R312</x:v>
      </x:c>
      <x:c r="B126" s="10" t="str">
        <x:v>0603WAF1002T5E</x:v>
      </x:c>
      <x:c r="C126" s="10" t="str">
        <x:v>C25804</x:v>
      </x:c>
      <x:c r="D126" s="10" t="str">
        <x:v>顶面</x:v>
      </x:c>
      <x:c r="E126" s="10" t="str">
        <x:v>1=+3V3; 2=ACC_DET_N</x:v>
      </x:c>
      <x:c r="F126" s="10" t="str">
        <x:v>10kΩ、100mW；逐脚核对拉阻、分压或信号串阻用途。按两端5.5V、阻值-1%的保守静态界限，功耗不超过3.06mW。</x:v>
      </x:c>
      <x:c r="G126" s="10" t="str">
        <x:v>设计核查完成；样机验证</x:v>
      </x:c>
      <x:c r="H126" s="10" t="str">
        <x:v>https://item.szlcsc.com/datasheet/0603WAF1002T5E/26547.html</x:v>
      </x:c>
    </x:row>
    <x:row r="127" ht="88" customHeight="1">
      <x:c r="A127" s="9" t="str">
        <x:v>SW1</x:v>
      </x:c>
      <x:c r="B127" s="9" t="str">
        <x:v>TS-1088R-02026</x:v>
      </x:c>
      <x:c r="C127" s="9" t="str">
        <x:v>C455280</x:v>
      </x:c>
      <x:c r="D127" s="9" t="str">
        <x:v>底面</x:v>
      </x:c>
      <x:c r="E127" s="9" t="str">
        <x:v>1=MCU_EN; 2=GND</x:v>
      </x:c>
      <x:c r="F127" s="9" t="str">
        <x:v>逻辑按键，已核对复位或KEY网络；不承载系统主电流。</x:v>
      </x:c>
      <x:c r="G127" s="9" t="str">
        <x:v>设计核查完成；样机验证</x:v>
      </x:c>
      <x:c r="H127" s="9" t="str">
        <x:v>https://item.szlcsc.com/datasheet/TS-1088R-02026/457635.html</x:v>
      </x:c>
    </x:row>
    <x:row r="128" ht="88" customHeight="1">
      <x:c r="A128" s="10" t="str">
        <x:v>SW2</x:v>
      </x:c>
      <x:c r="B128" s="10" t="str">
        <x:v>TS-1088R-02026</x:v>
      </x:c>
      <x:c r="C128" s="10" t="str">
        <x:v>C455280</x:v>
      </x:c>
      <x:c r="D128" s="10" t="str">
        <x:v>底面</x:v>
      </x:c>
      <x:c r="E128" s="10" t="str">
        <x:v>1=BOOT_N; 2=GND</x:v>
      </x:c>
      <x:c r="F128" s="10" t="str">
        <x:v>逻辑按键，已核对复位或KEY网络；不承载系统主电流。</x:v>
      </x:c>
      <x:c r="G128" s="10" t="str">
        <x:v>设计核查完成；样机验证</x:v>
      </x:c>
      <x:c r="H128" s="10" t="str">
        <x:v>https://item.szlcsc.com/datasheet/TS-1088R-02026/457635.html</x:v>
      </x:c>
    </x:row>
    <x:row r="129" ht="88" customHeight="1">
      <x:c r="A129" s="9" t="str">
        <x:v>SW3</x:v>
      </x:c>
      <x:c r="B129" s="9" t="str">
        <x:v>TS-1088R-02026</x:v>
      </x:c>
      <x:c r="C129" s="9" t="str">
        <x:v>C455280</x:v>
      </x:c>
      <x:c r="D129" s="9" t="str">
        <x:v>底面</x:v>
      </x:c>
      <x:c r="E129" s="9" t="str">
        <x:v>1=KEY_N; 2=GND</x:v>
      </x:c>
      <x:c r="F129" s="9" t="str">
        <x:v>逻辑按键，已核对复位或KEY网络；不承载系统主电流。</x:v>
      </x:c>
      <x:c r="G129" s="9" t="str">
        <x:v>设计核查完成；样机验证</x:v>
      </x:c>
      <x:c r="H129" s="9" t="str">
        <x:v>https://item.szlcsc.com/datasheet/TS-1088R-02026/457635.html</x:v>
      </x:c>
    </x:row>
    <x:row r="130" ht="140" customHeight="1">
      <x:c r="A130" s="10" t="str">
        <x:v>U1</x:v>
      </x:c>
      <x:c r="B130" s="10" t="str">
        <x:v>ESP32-S3-WROOM-1-N16R8</x:v>
      </x:c>
      <x:c r="C130" s="10" t="str">
        <x:v>C2913202</x:v>
      </x:c>
      <x:c r="D130" s="10" t="str">
        <x:v>底面</x:v>
      </x:c>
      <x:c r="E130" s="10" t="str">
        <x:v>1=GND; 2=+3V3; 3=MCU_EN; 4=PDM_DATA_L; 5=PDM_CLK_MCU; 6=HAPTIC_ENABLE; 7=I2S_BCLK; 8=I2S_LRCLK; 9=I2S_DOUT; 10=AMP_ENABLE; 11=IMU_INT1; 12=BOOST_EN; 13=USB_DM; 14=USB_DP; 15=NC; 16=NC; 17=LCD_DC_MCU; 18=LCD_CS_MCU; 19=LCD_MOSI_MCU; 20=LCD_SCK_MCU; 21=LCD_RST_N; 22=KEY_N; 23=ACC_SCL_MCU; 24=EXP_IRQ_N; 25=LCD_BL_PWM; 26=NC; 27=BOOT_N; 28=NC; 29=NC; 30=NC; 31=ACC_SDA_MCU; 32=USB_PRESENT_N; 33=TOUCH_IRQ_N; 34=I2C_SCL; 35=I2C_SDA; 36=UART_RX; 37=UART_TX; 38=ACC_DET_N; 39=BAT_ADC; 40=GND; 41=GND</x:v>
      </x:c>
      <x:c r="F130" s="10" t="str">
        <x:v>3.3V供电；GPIO19/20为USB，GPIO18为IMU中断；N16R8占用的GPIO35/36/37保持NC。天线移至板顶开槽边缘。</x:v>
      </x:c>
      <x:c r="G130" s="10" t="str">
        <x:v>设计核查完成；样机验证</x:v>
      </x:c>
      <x:c r="H130" s="10" t="str">
        <x:v>https://item.szlcsc.com/datasheet/ESP32-S3-WROOM-1-N16R8/3198300.html</x:v>
      </x:c>
    </x:row>
    <x:row r="131" ht="88" customHeight="1">
      <x:c r="A131" s="9" t="str">
        <x:v>U2</x:v>
      </x:c>
      <x:c r="B131" s="9" t="str">
        <x:v>BMI270</x:v>
      </x:c>
      <x:c r="C131" s="9" t="str">
        <x:v>C2836813</x:v>
      </x:c>
      <x:c r="D131" s="9" t="str">
        <x:v>底面</x:v>
      </x:c>
      <x:c r="E131" s="9" t="str">
        <x:v>1=+3V3; 2=NC; 3=NC; 4=IMU_INT1; 5=+3V3; 6=GND; 7=GND; 8=+3V3; 9=NC; 10=NC; 11=NC; 12=+3V3; 13=I2C_SCL; 14=I2C_SDA</x:v>
      </x:c>
      <x:c r="F131" s="9" t="str">
        <x:v>BMI270：VDD/VDDIO为3.3V，CSB高选I2C、SDO高选0x69；INT1到GPIO18；需加载厂家初始化配置。</x:v>
      </x:c>
      <x:c r="G131" s="9" t="str">
        <x:v>设计核查完成；样机验证</x:v>
      </x:c>
      <x:c r="H131" s="9" t="str">
        <x:v>https://item.szlcsc.com/datasheet/BMI270/3005172.html</x:v>
      </x:c>
    </x:row>
    <x:row r="132" ht="88" customHeight="1">
      <x:c r="A132" s="10" t="str">
        <x:v>U3</x:v>
      </x:c>
      <x:c r="B132" s="10" t="str">
        <x:v>CAP1296-1-AIA-TR</x:v>
      </x:c>
      <x:c r="C132" s="10" t="str">
        <x:v>C2652051</x:v>
      </x:c>
      <x:c r="D132" s="10" t="str">
        <x:v>底面</x:v>
      </x:c>
      <x:c r="E132" s="10" t="str">
        <x:v>1=TOUCH_CS1; 2=TOUCH_IRQ_N; 3=I2C_SDA; 4=I2C_SCL; 5=+3V3; 6=TOUCH_CS6; 7=TOUCH_CS5; 8=TOUCH_CS4; 9=TOUCH_CS3; 10=TOUCH_CS2; 11=GND</x:v>
      </x:c>
      <x:c r="F132" s="10" t="str">
        <x:v>CAP1296：3.3V，固定7位地址0x28，六路触摸各串1kΩ；EP接地。已避免与原RFID2模块地址冲突。</x:v>
      </x:c>
      <x:c r="G132" s="10" t="str">
        <x:v>设计核查完成；样机验证</x:v>
      </x:c>
      <x:c r="H132" s="10" t="str">
        <x:v>https://atta.szlcsc.com/upload/public/pdf/source/20220204/C2652076_268955A7788DB89AC0FD8BF0BA338E88.pdf</x:v>
      </x:c>
    </x:row>
    <x:row r="133" ht="88" customHeight="1">
      <x:c r="A133" s="9" t="str">
        <x:v>U4</x:v>
      </x:c>
      <x:c r="B133" s="9" t="str">
        <x:v>MAX98357AETE+T</x:v>
      </x:c>
      <x:c r="C133" s="9" t="str">
        <x:v>C910544</x:v>
      </x:c>
      <x:c r="D133" s="9" t="str">
        <x:v>底面</x:v>
      </x:c>
      <x:c r="E133" s="9" t="str">
        <x:v>1=I2S_DOUT; 2=NC; 3=GND; 4=AMP_SD_MODE; 5=NC; 6=NC; 7=+5V_SYS; 8=+5V_SYS; 9=SPK_P; 10=SPK_N; 11=GND; 12=NC; 13=NC; 14=I2S_LRCLK; 15=GND; 16=I2S_BCLK; 17=GND</x:v>
      </x:c>
      <x:c r="F133" s="9" t="str">
        <x:v>MAX98357A：5V BTL输出，匹配8Ω/2W扬声器；SPK_P/SPK_N均不可接地，固件从低音量启动。</x:v>
      </x:c>
      <x:c r="G133" s="9" t="str">
        <x:v>设计核查完成；样机验证</x:v>
      </x:c>
      <x:c r="H133" s="9" t="str">
        <x:v>https://item.szlcsc.com/datasheet/MAX98357AETE%252BT/978950.html</x:v>
      </x:c>
    </x:row>
    <x:row r="134" ht="88" customHeight="1">
      <x:c r="A134" s="10" t="str">
        <x:v>U5</x:v>
      </x:c>
      <x:c r="B134" s="10" t="str">
        <x:v>LMD3526T261-OA5</x:v>
      </x:c>
      <x:c r="C134" s="10" t="str">
        <x:v>C49230436</x:v>
      </x:c>
      <x:c r="D134" s="10" t="str">
        <x:v>顶面</x:v>
      </x:c>
      <x:c r="E134" s="10" t="str">
        <x:v>1=+3V3; 2=PDM_CLK_MCU; 3=PDM_DATA_L; 4=GND; 5=GND; 6=GND</x:v>
      </x:c>
      <x:c r="F134" s="10" t="str">
        <x:v>PDM数字麦克风，3.3V，L/R接地；主控GPIO4为数据、GPIO5为时钟。声孔不得被胶或结构堵塞。</x:v>
      </x:c>
      <x:c r="G134" s="10" t="str">
        <x:v>设计核查完成；样机验证</x:v>
      </x:c>
      <x:c r="H134" s="10" t="str">
        <x:v>https://item.szlcsc.com/datasheet/LMD3526T261-OA5/51641535.html</x:v>
      </x:c>
    </x:row>
    <x:row r="135" ht="88" customHeight="1">
      <x:c r="A135" s="9" t="str">
        <x:v>U7</x:v>
      </x:c>
      <x:c r="B135" s="9" t="str">
        <x:v>TCA9534PWR</x:v>
      </x:c>
      <x:c r="C135" s="9" t="str">
        <x:v>C783615</x:v>
      </x:c>
      <x:c r="D135" s="9" t="str">
        <x:v>底面</x:v>
      </x:c>
      <x:c r="E135" s="9" t="str">
        <x:v>1=GND; 2=GND; 3=GND; 4=DOCK_DET_N; 5=CHG_N; 6=PGOOD_N; 7=NC; 8=GND; 9=NC; 10=NC; 11=AUX_KEY_N; 12=NC; 13=EXP_IRQ_N; 14=I2C_SCL; 15=I2C_SDA; 16=+3V3</x:v>
      </x:c>
      <x:c r="F135" s="9" t="str">
        <x:v>TCA9534：3.3V、7位地址0x20；中断有上拉；固件先设置输出锁存值再改方向。</x:v>
      </x:c>
      <x:c r="G135" s="9" t="str">
        <x:v>设计核查完成；样机验证</x:v>
      </x:c>
      <x:c r="H135" s="9" t="str">
        <x:v>https://www.ti.com/cn/lit/ds/symlink/tca9534.pdf</x:v>
      </x:c>
    </x:row>
    <x:row r="136" ht="88" customHeight="1">
      <x:c r="A136" s="10" t="str">
        <x:v>U101</x:v>
      </x:c>
      <x:c r="B136" s="10" t="str">
        <x:v>USBLC6-2SC6</x:v>
      </x:c>
      <x:c r="C136" s="10" t="str">
        <x:v>C7519</x:v>
      </x:c>
      <x:c r="D136" s="10" t="str">
        <x:v>底面</x:v>
      </x:c>
      <x:c r="E136" s="10" t="str">
        <x:v>1=USB_DP_CONN; 2=GND; 3=USB_DM_CONN; 4=USB_DM_CONN; 5=USB_VBUS; 6=USB_DP_CONN</x:v>
      </x:c>
      <x:c r="F136" s="10" t="str">
        <x:v>USBLC6-2SC6：USB数据线ESD通道和VBUS/GND脚序已核对；布置在USB座与串联电阻之间。</x:v>
      </x:c>
      <x:c r="G136" s="10" t="str">
        <x:v>设计核查完成；样机验证</x:v>
      </x:c>
      <x:c r="H136" s="10" t="str">
        <x:v>https://item.szlcsc.com/datasheet/USBLC6-2SC6/7996.html</x:v>
      </x:c>
    </x:row>
    <x:row r="137" ht="88" customHeight="1">
      <x:c r="A137" s="9" t="str">
        <x:v>U102</x:v>
      </x:c>
      <x:c r="B137" s="9" t="str">
        <x:v>BQ24075RGTR</x:v>
      </x:c>
      <x:c r="C137" s="9" t="str">
        <x:v>C15464</x:v>
      </x:c>
      <x:c r="D137" s="9" t="str">
        <x:v>底面</x:v>
      </x:c>
      <x:c r="E137" s="9" t="str">
        <x:v>1=BAT_NTC; 2=VBAT_PROT; 3=VBAT_PROT; 4=CHG_CE_N; 5=CHG_EN2; 6=GND; 7=PGOOD_N; 8=GND; 9=CHG_N; 10=VSYS_RAW; 11=VSYS_RAW; 12=CHG_ILIM; 13=USB_5V_FUSED; 14=CHG_TMR; 15=CHG_SYSOFF; 16=CHG_ISET; 17=GND</x:v>
      </x:c>
      <x:c r="F137" s="9" t="str">
        <x:v>BQ24075：单节锂电电源路径；1.18kΩ设输入限流，1kΩ设约0.89A充电；需保护电池和真实10kΩ NTC。</x:v>
      </x:c>
      <x:c r="G137" s="9" t="str">
        <x:v>设计核查完成；样机验证</x:v>
      </x:c>
      <x:c r="H137" s="9" t="str">
        <x:v>https://www.ti.com/cn/lit/ds/symlink/bq24075.pdf</x:v>
      </x:c>
    </x:row>
    <x:row r="138" ht="88" customHeight="1">
      <x:c r="A138" s="10" t="str">
        <x:v>U103</x:v>
      </x:c>
      <x:c r="B138" s="10" t="str">
        <x:v>TPS63802DLAR</x:v>
      </x:c>
      <x:c r="C138" s="10" t="str">
        <x:v>C2845237</x:v>
      </x:c>
      <x:c r="D138" s="10" t="str">
        <x:v>底面</x:v>
      </x:c>
      <x:c r="E138" s="10" t="str">
        <x:v>1=BUCK_EN; 2=GND; 3=GND; 4=BUCK_FB; 5=NC; 6=+3V3; 7=BB_SW2; 8=GND; 9=BB_SW1; 10=MAIN_IN</x:v>
      </x:c>
      <x:c r="F138" s="10" t="str">
        <x:v>TPS63802：470nH电感、560kΩ/100kΩ反馈，标称3.3V；输入/输出电容近端布置；样机验证低电量带载和环路。</x:v>
      </x:c>
      <x:c r="G138" s="10" t="str">
        <x:v>设计核查完成；样机验证</x:v>
      </x:c>
      <x:c r="H138" s="10" t="str">
        <x:v>https://www.ti.com/cn/lit/ds/symlink/tps63802.pdf</x:v>
      </x:c>
    </x:row>
    <x:row r="139" ht="88" customHeight="1">
      <x:c r="A139" s="9" t="str">
        <x:v>U104</x:v>
      </x:c>
      <x:c r="B139" s="9" t="str">
        <x:v>TPS61023DRLR</x:v>
      </x:c>
      <x:c r="C139" s="9" t="str">
        <x:v>C919459</x:v>
      </x:c>
      <x:c r="D139" s="9" t="str">
        <x:v>底面</x:v>
      </x:c>
      <x:c r="E139" s="9" t="str">
        <x:v>1=BOOST_FB; 2=BOOST_ENABLE; 3=MAIN_IN; 4=GND; 5=BOOST_SW; 6=BOOST_5V</x:v>
      </x:c>
      <x:c r="F139" s="9" t="str">
        <x:v>TPS61023：1µH、732kΩ/100kΩ反馈；按0.6V参考约4.992V，按0.595V典型约4.9504V。输出能力需按最低电池电压验证。</x:v>
      </x:c>
      <x:c r="G139" s="9" t="str">
        <x:v>设计核查完成；样机验证</x:v>
      </x:c>
      <x:c r="H139" s="9" t="str">
        <x:v>https://www.ti.com.cn/cn/lit/ds/symlink/tps61023.pdf?ts=1728812468331&amp;ref_url=https%253A%252F%252Fwww.ti.com.cn%252Fproduct%252Fcn%252FTPS61023</x:v>
      </x:c>
    </x:row>
    <x:row r="140" ht="88" customHeight="1">
      <x:c r="A140" s="10" t="str">
        <x:v>U105</x:v>
      </x:c>
      <x:c r="B140" s="10" t="str">
        <x:v>DRV2605LDGSR</x:v>
      </x:c>
      <x:c r="C140" s="10" t="str">
        <x:v>C527464</x:v>
      </x:c>
      <x:c r="D140" s="10" t="str">
        <x:v>底面</x:v>
      </x:c>
      <x:c r="E140" s="10" t="str">
        <x:v>1=HAPTIC_REG; 2=I2C_SCL; 3=I2C_SDA; 4=GND; 5=HAPTIC_EN; 6=+3V3; 7=HAPTIC_OUT_P; 8=GND; 9=HAPTIC_OUT_N; 10=+3V3</x:v>
      </x:c>
      <x:c r="F140" s="10" t="str">
        <x:v>DRV2605L驱动LRA；所选LD0825BC-0169F为1.2Vrms、240±10Hz。固件启用LRA模式并校准，电压上限遵守1.25Vrms。</x:v>
      </x:c>
      <x:c r="G140" s="10" t="str">
        <x:v>设计核查完成；样机验证</x:v>
      </x:c>
      <x:c r="H140" s="10" t="str">
        <x:v>https://www.ti.com/cn/lit/ds/symlink/drv2605l.pdf</x:v>
      </x:c>
    </x:row>
    <x:row r="141" ht="88" customHeight="1">
      <x:c r="A141" s="9" t="str">
        <x:v>U106</x:v>
      </x:c>
      <x:c r="B141" s="9" t="str">
        <x:v>TUSB320LAIRWBR</x:v>
      </x:c>
      <x:c r="C141" s="9" t="str">
        <x:v>C132554</x:v>
      </x:c>
      <x:c r="D141" s="9" t="str">
        <x:v>顶面</x:v>
      </x:c>
      <x:c r="E141" s="9" t="str">
        <x:v>1=USB_CC1; 2=USB_CC2; 3=GND; 4=USB_CC_VBUS_DET; 5=NC; 6=NC; 7=USB_HIGH_CURRENT_N; 8=NC; 9=NC; 10=GND; 11=GND; 12=USB_CC_3V3</x:v>
      </x:c>
      <x:c r="F141" s="9" t="str">
        <x:v>TUSB320LAI为Sink/GPIO模式，使用内部Rd；检测到1.5A/3A广告才切换充电限流，默认100mA。</x:v>
      </x:c>
      <x:c r="G141" s="9" t="str">
        <x:v>设计核查完成；样机验证</x:v>
      </x:c>
      <x:c r="H141" s="9" t="str">
        <x:v>https://www.ti.com/cn/lit/ds/symlink/tusb320lai.pdf</x:v>
      </x:c>
    </x:row>
    <x:row r="142" ht="88" customHeight="1">
      <x:c r="A142" s="10" t="str">
        <x:v>U107</x:v>
      </x:c>
      <x:c r="B142" s="10" t="str">
        <x:v>TLV75533PDBVR</x:v>
      </x:c>
      <x:c r="C142" s="10" t="str">
        <x:v>C404027</x:v>
      </x:c>
      <x:c r="D142" s="10" t="str">
        <x:v>顶面</x:v>
      </x:c>
      <x:c r="E142" s="10" t="str">
        <x:v>1=USB_5V_FUSED; 2=GND; 3=USB_5V_FUSED; 4=NC; 5=USB_CC_3V3</x:v>
      </x:c>
      <x:c r="F142" s="10" t="str">
        <x:v>TLV75533：独立USB检测3.3V电源；输入/输出1µF，输出本地去耦；不承担系统主供电。</x:v>
      </x:c>
      <x:c r="G142" s="10" t="str">
        <x:v>设计核查完成；样机验证</x:v>
      </x:c>
      <x:c r="H142" s="10" t="str">
        <x:v>https://www.ti.com/cn/lit/ds/symlink/tlv755p.pdf</x:v>
      </x:c>
    </x:row>
    <x:row r="143" ht="88" customHeight="1">
      <x:c r="A143" s="9" t="str">
        <x:v>U108</x:v>
      </x:c>
      <x:c r="B143" s="9" t="str">
        <x:v>SN74LVC1G04DBVR</x:v>
      </x:c>
      <x:c r="C143" s="9" t="str">
        <x:v>C7827</x:v>
      </x:c>
      <x:c r="D143" s="9" t="str">
        <x:v>顶面</x:v>
      </x:c>
      <x:c r="E143" s="9" t="str">
        <x:v>1=NC; 2=USB_HIGH_CURRENT_N; 3=GND; 4=CHG_EN2; 5=USB_CC_3V3</x:v>
      </x:c>
      <x:c r="F143" s="9" t="str">
        <x:v>SN74LVC1G04：反相Type-C电流广告信号；供电来自USB检测3.3V，输入上拉，避免启动误判高电流。</x:v>
      </x:c>
      <x:c r="G143" s="9" t="str">
        <x:v>设计核查完成；样机验证</x:v>
      </x:c>
      <x:c r="H143" s="9" t="str">
        <x:v>https://www.ti.com/cn/lit/ds/symlink/sn74lvc1g04.pdf</x:v>
      </x:c>
    </x:row>
  </x:sheetData>
  <x:conditionalFormatting sqref="G7:G143">
    <x:cfRule type="containsText" dxfId="1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0eae0c36b5684e21"/>
  </x:tableParts>
</x:worksheet>
</file>